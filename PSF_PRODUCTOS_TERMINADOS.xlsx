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999999"/>
      <sz val="9"/>
    </font>
    <font>
      <b val="1"/>
      <color rgb="00FFFFFF"/>
      <sz val="14"/>
    </font>
    <font>
      <i val="1"/>
      <sz val="9"/>
    </font>
    <font>
      <b val="1"/>
      <sz val="14"/>
    </font>
    <font>
      <sz val="10"/>
    </font>
  </fonts>
  <fills count="5">
    <fill>
      <patternFill/>
    </fill>
    <fill>
      <patternFill patternType="gray125"/>
    </fill>
    <fill>
      <patternFill patternType="solid">
        <fgColor rgb="001a472a"/>
        <bgColor rgb="001a472a"/>
      </patternFill>
    </fill>
    <fill>
      <patternFill patternType="solid">
        <fgColor rgb="002d5f42"/>
        <bgColor rgb="002d5f42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164" fontId="0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left"/>
    </xf>
    <xf numFmtId="0" fontId="0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/>
    </xf>
    <xf numFmtId="4" fontId="0" fillId="4" borderId="0" applyAlignment="1" pivotButton="0" quotePrefix="0" xfId="0">
      <alignment horizontal="right"/>
    </xf>
    <xf numFmtId="0" fontId="5" fillId="0" borderId="0" pivotButton="0" quotePrefix="0" xfId="0"/>
    <xf numFmtId="0" fontId="1" fillId="2" borderId="0" pivotButton="0" quotePrefix="0" xfId="0"/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0000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8" customWidth="1" min="4" max="4"/>
    <col width="10" customWidth="1" min="5" max="5"/>
    <col width="16" customWidth="1" min="6" max="6"/>
  </cols>
  <sheetData>
    <row r="1">
      <c r="A1" s="1" t="inlineStr">
        <is>
          <t>Material</t>
        </is>
      </c>
      <c r="B1" s="1" t="inlineStr">
        <is>
          <t>Texto breve de material</t>
        </is>
      </c>
      <c r="C1" s="1" t="inlineStr">
        <is>
          <t>Almacén</t>
        </is>
      </c>
      <c r="D1" s="1" t="inlineStr">
        <is>
          <t>Libre utilización</t>
        </is>
      </c>
      <c r="E1" s="1" t="inlineStr">
        <is>
          <t>UMB</t>
        </is>
      </c>
      <c r="F1" s="1" t="inlineStr">
        <is>
          <t>Valor libre util</t>
        </is>
      </c>
    </row>
    <row r="2">
      <c r="A2" s="2" t="inlineStr">
        <is>
          <t>← Pega aquí la exportación de SAP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12" customWidth="1" min="3" max="3"/>
    <col width="16" customWidth="1" min="4" max="4"/>
    <col width="15" customWidth="1" min="5" max="5"/>
  </cols>
  <sheetData>
    <row r="1">
      <c r="A1" s="3" t="inlineStr">
        <is>
          <t>📦 LISTA DE PRODUCTOS TERMINADOS - PSF</t>
        </is>
      </c>
    </row>
    <row r="2">
      <c r="A2" s="4" t="inlineStr">
        <is>
          <t xml:space="preserve">Actualizado: </t>
        </is>
      </c>
      <c r="B2" s="5">
        <f>TODAY()</f>
        <v/>
      </c>
    </row>
    <row r="4">
      <c r="A4" s="6" t="inlineStr">
        <is>
          <t>CÓDIGO</t>
        </is>
      </c>
      <c r="B4" s="6" t="inlineStr">
        <is>
          <t>DESCRIPCIÓN</t>
        </is>
      </c>
      <c r="C4" s="6" t="inlineStr">
        <is>
          <t>ALMACÉN</t>
        </is>
      </c>
      <c r="D4" s="6" t="inlineStr">
        <is>
          <t>CANTIDAD (KG)</t>
        </is>
      </c>
      <c r="E4" s="6" t="inlineStr">
        <is>
          <t>ESTADO</t>
        </is>
      </c>
    </row>
    <row r="5">
      <c r="A5" s="7">
        <f>IF(ROWS($A$5:A5)&lt;=COUNTA(DATOS!$A$2:$A$1000),INDEX(DATOS!$A$2:$A$1000,ROWS($A$5:A5)),"")</f>
        <v/>
      </c>
      <c r="B5" s="8">
        <f>IF(A5="","",INDEX(DATOS!$B$2:$B$1000,MATCH(A5,DATOS!$A$2:$A$1000,0)))</f>
        <v/>
      </c>
      <c r="C5" s="9">
        <f>IF(A5="","",INDEX(DATOS!$C$2:$C$1000,MATCH(A5,DATOS!$A$2:$A$1000,0)))</f>
        <v/>
      </c>
      <c r="D5" s="10">
        <f>IF(A5="","",INDEX(DATOS!$D$2:$D$1000,MATCH(A5,DATOS!$A$2:$A$1000,0)))</f>
        <v/>
      </c>
      <c r="E5" s="9">
        <f>IF(A5="","",IF(D5=0,"AGOTADO",IF(D5&lt;100,"⚠ BAJO","✓ DISPONIBLE")))</f>
        <v/>
      </c>
    </row>
    <row r="6">
      <c r="A6" s="11">
        <f>IF(ROWS($A$5:A6)&lt;=COUNTA(DATOS!$A$2:$A$1000),INDEX(DATOS!$A$2:$A$1000,ROWS($A$5:A6)),"")</f>
        <v/>
      </c>
      <c r="B6" s="12">
        <f>IF(A6="","",INDEX(DATOS!$B$2:$B$1000,MATCH(A6,DATOS!$A$2:$A$1000,0)))</f>
        <v/>
      </c>
      <c r="C6" s="13">
        <f>IF(A6="","",INDEX(DATOS!$C$2:$C$1000,MATCH(A6,DATOS!$A$2:$A$1000,0)))</f>
        <v/>
      </c>
      <c r="D6" s="14">
        <f>IF(A6="","",INDEX(DATOS!$D$2:$D$1000,MATCH(A6,DATOS!$A$2:$A$1000,0)))</f>
        <v/>
      </c>
      <c r="E6" s="13">
        <f>IF(A6="","",IF(D6=0,"AGOTADO",IF(D6&lt;100,"⚠ BAJO","✓ DISPONIBLE")))</f>
        <v/>
      </c>
    </row>
    <row r="7">
      <c r="A7" s="7">
        <f>IF(ROWS($A$5:A7)&lt;=COUNTA(DATOS!$A$2:$A$1000),INDEX(DATOS!$A$2:$A$1000,ROWS($A$5:A7)),"")</f>
        <v/>
      </c>
      <c r="B7" s="8">
        <f>IF(A7="","",INDEX(DATOS!$B$2:$B$1000,MATCH(A7,DATOS!$A$2:$A$1000,0)))</f>
        <v/>
      </c>
      <c r="C7" s="9">
        <f>IF(A7="","",INDEX(DATOS!$C$2:$C$1000,MATCH(A7,DATOS!$A$2:$A$1000,0)))</f>
        <v/>
      </c>
      <c r="D7" s="10">
        <f>IF(A7="","",INDEX(DATOS!$D$2:$D$1000,MATCH(A7,DATOS!$A$2:$A$1000,0)))</f>
        <v/>
      </c>
      <c r="E7" s="9">
        <f>IF(A7="","",IF(D7=0,"AGOTADO",IF(D7&lt;100,"⚠ BAJO","✓ DISPONIBLE")))</f>
        <v/>
      </c>
    </row>
    <row r="8">
      <c r="A8" s="11">
        <f>IF(ROWS($A$5:A8)&lt;=COUNTA(DATOS!$A$2:$A$1000),INDEX(DATOS!$A$2:$A$1000,ROWS($A$5:A8)),"")</f>
        <v/>
      </c>
      <c r="B8" s="12">
        <f>IF(A8="","",INDEX(DATOS!$B$2:$B$1000,MATCH(A8,DATOS!$A$2:$A$1000,0)))</f>
        <v/>
      </c>
      <c r="C8" s="13">
        <f>IF(A8="","",INDEX(DATOS!$C$2:$C$1000,MATCH(A8,DATOS!$A$2:$A$1000,0)))</f>
        <v/>
      </c>
      <c r="D8" s="14">
        <f>IF(A8="","",INDEX(DATOS!$D$2:$D$1000,MATCH(A8,DATOS!$A$2:$A$1000,0)))</f>
        <v/>
      </c>
      <c r="E8" s="13">
        <f>IF(A8="","",IF(D8=0,"AGOTADO",IF(D8&lt;100,"⚠ BAJO","✓ DISPONIBLE")))</f>
        <v/>
      </c>
    </row>
    <row r="9">
      <c r="A9" s="7">
        <f>IF(ROWS($A$5:A9)&lt;=COUNTA(DATOS!$A$2:$A$1000),INDEX(DATOS!$A$2:$A$1000,ROWS($A$5:A9)),"")</f>
        <v/>
      </c>
      <c r="B9" s="8">
        <f>IF(A9="","",INDEX(DATOS!$B$2:$B$1000,MATCH(A9,DATOS!$A$2:$A$1000,0)))</f>
        <v/>
      </c>
      <c r="C9" s="9">
        <f>IF(A9="","",INDEX(DATOS!$C$2:$C$1000,MATCH(A9,DATOS!$A$2:$A$1000,0)))</f>
        <v/>
      </c>
      <c r="D9" s="10">
        <f>IF(A9="","",INDEX(DATOS!$D$2:$D$1000,MATCH(A9,DATOS!$A$2:$A$1000,0)))</f>
        <v/>
      </c>
      <c r="E9" s="9">
        <f>IF(A9="","",IF(D9=0,"AGOTADO",IF(D9&lt;100,"⚠ BAJO","✓ DISPONIBLE")))</f>
        <v/>
      </c>
    </row>
    <row r="10">
      <c r="A10" s="11">
        <f>IF(ROWS($A$5:A10)&lt;=COUNTA(DATOS!$A$2:$A$1000),INDEX(DATOS!$A$2:$A$1000,ROWS($A$5:A10)),"")</f>
        <v/>
      </c>
      <c r="B10" s="12">
        <f>IF(A10="","",INDEX(DATOS!$B$2:$B$1000,MATCH(A10,DATOS!$A$2:$A$1000,0)))</f>
        <v/>
      </c>
      <c r="C10" s="13">
        <f>IF(A10="","",INDEX(DATOS!$C$2:$C$1000,MATCH(A10,DATOS!$A$2:$A$1000,0)))</f>
        <v/>
      </c>
      <c r="D10" s="14">
        <f>IF(A10="","",INDEX(DATOS!$D$2:$D$1000,MATCH(A10,DATOS!$A$2:$A$1000,0)))</f>
        <v/>
      </c>
      <c r="E10" s="13">
        <f>IF(A10="","",IF(D10=0,"AGOTADO",IF(D10&lt;100,"⚠ BAJO","✓ DISPONIBLE")))</f>
        <v/>
      </c>
    </row>
    <row r="11">
      <c r="A11" s="7">
        <f>IF(ROWS($A$5:A11)&lt;=COUNTA(DATOS!$A$2:$A$1000),INDEX(DATOS!$A$2:$A$1000,ROWS($A$5:A11)),"")</f>
        <v/>
      </c>
      <c r="B11" s="8">
        <f>IF(A11="","",INDEX(DATOS!$B$2:$B$1000,MATCH(A11,DATOS!$A$2:$A$1000,0)))</f>
        <v/>
      </c>
      <c r="C11" s="9">
        <f>IF(A11="","",INDEX(DATOS!$C$2:$C$1000,MATCH(A11,DATOS!$A$2:$A$1000,0)))</f>
        <v/>
      </c>
      <c r="D11" s="10">
        <f>IF(A11="","",INDEX(DATOS!$D$2:$D$1000,MATCH(A11,DATOS!$A$2:$A$1000,0)))</f>
        <v/>
      </c>
      <c r="E11" s="9">
        <f>IF(A11="","",IF(D11=0,"AGOTADO",IF(D11&lt;100,"⚠ BAJO","✓ DISPONIBLE")))</f>
        <v/>
      </c>
    </row>
    <row r="12">
      <c r="A12" s="11">
        <f>IF(ROWS($A$5:A12)&lt;=COUNTA(DATOS!$A$2:$A$1000),INDEX(DATOS!$A$2:$A$1000,ROWS($A$5:A12)),"")</f>
        <v/>
      </c>
      <c r="B12" s="12">
        <f>IF(A12="","",INDEX(DATOS!$B$2:$B$1000,MATCH(A12,DATOS!$A$2:$A$1000,0)))</f>
        <v/>
      </c>
      <c r="C12" s="13">
        <f>IF(A12="","",INDEX(DATOS!$C$2:$C$1000,MATCH(A12,DATOS!$A$2:$A$1000,0)))</f>
        <v/>
      </c>
      <c r="D12" s="14">
        <f>IF(A12="","",INDEX(DATOS!$D$2:$D$1000,MATCH(A12,DATOS!$A$2:$A$1000,0)))</f>
        <v/>
      </c>
      <c r="E12" s="13">
        <f>IF(A12="","",IF(D12=0,"AGOTADO",IF(D12&lt;100,"⚠ BAJO","✓ DISPONIBLE")))</f>
        <v/>
      </c>
    </row>
    <row r="13">
      <c r="A13" s="7">
        <f>IF(ROWS($A$5:A13)&lt;=COUNTA(DATOS!$A$2:$A$1000),INDEX(DATOS!$A$2:$A$1000,ROWS($A$5:A13)),"")</f>
        <v/>
      </c>
      <c r="B13" s="8">
        <f>IF(A13="","",INDEX(DATOS!$B$2:$B$1000,MATCH(A13,DATOS!$A$2:$A$1000,0)))</f>
        <v/>
      </c>
      <c r="C13" s="9">
        <f>IF(A13="","",INDEX(DATOS!$C$2:$C$1000,MATCH(A13,DATOS!$A$2:$A$1000,0)))</f>
        <v/>
      </c>
      <c r="D13" s="10">
        <f>IF(A13="","",INDEX(DATOS!$D$2:$D$1000,MATCH(A13,DATOS!$A$2:$A$1000,0)))</f>
        <v/>
      </c>
      <c r="E13" s="9">
        <f>IF(A13="","",IF(D13=0,"AGOTADO",IF(D13&lt;100,"⚠ BAJO","✓ DISPONIBLE")))</f>
        <v/>
      </c>
    </row>
    <row r="14">
      <c r="A14" s="11">
        <f>IF(ROWS($A$5:A14)&lt;=COUNTA(DATOS!$A$2:$A$1000),INDEX(DATOS!$A$2:$A$1000,ROWS($A$5:A14)),"")</f>
        <v/>
      </c>
      <c r="B14" s="12">
        <f>IF(A14="","",INDEX(DATOS!$B$2:$B$1000,MATCH(A14,DATOS!$A$2:$A$1000,0)))</f>
        <v/>
      </c>
      <c r="C14" s="13">
        <f>IF(A14="","",INDEX(DATOS!$C$2:$C$1000,MATCH(A14,DATOS!$A$2:$A$1000,0)))</f>
        <v/>
      </c>
      <c r="D14" s="14">
        <f>IF(A14="","",INDEX(DATOS!$D$2:$D$1000,MATCH(A14,DATOS!$A$2:$A$1000,0)))</f>
        <v/>
      </c>
      <c r="E14" s="13">
        <f>IF(A14="","",IF(D14=0,"AGOTADO",IF(D14&lt;100,"⚠ BAJO","✓ DISPONIBLE")))</f>
        <v/>
      </c>
    </row>
    <row r="15">
      <c r="A15" s="7">
        <f>IF(ROWS($A$5:A15)&lt;=COUNTA(DATOS!$A$2:$A$1000),INDEX(DATOS!$A$2:$A$1000,ROWS($A$5:A15)),"")</f>
        <v/>
      </c>
      <c r="B15" s="8">
        <f>IF(A15="","",INDEX(DATOS!$B$2:$B$1000,MATCH(A15,DATOS!$A$2:$A$1000,0)))</f>
        <v/>
      </c>
      <c r="C15" s="9">
        <f>IF(A15="","",INDEX(DATOS!$C$2:$C$1000,MATCH(A15,DATOS!$A$2:$A$1000,0)))</f>
        <v/>
      </c>
      <c r="D15" s="10">
        <f>IF(A15="","",INDEX(DATOS!$D$2:$D$1000,MATCH(A15,DATOS!$A$2:$A$1000,0)))</f>
        <v/>
      </c>
      <c r="E15" s="9">
        <f>IF(A15="","",IF(D15=0,"AGOTADO",IF(D15&lt;100,"⚠ BAJO","✓ DISPONIBLE")))</f>
        <v/>
      </c>
    </row>
    <row r="16">
      <c r="A16" s="11">
        <f>IF(ROWS($A$5:A16)&lt;=COUNTA(DATOS!$A$2:$A$1000),INDEX(DATOS!$A$2:$A$1000,ROWS($A$5:A16)),"")</f>
        <v/>
      </c>
      <c r="B16" s="12">
        <f>IF(A16="","",INDEX(DATOS!$B$2:$B$1000,MATCH(A16,DATOS!$A$2:$A$1000,0)))</f>
        <v/>
      </c>
      <c r="C16" s="13">
        <f>IF(A16="","",INDEX(DATOS!$C$2:$C$1000,MATCH(A16,DATOS!$A$2:$A$1000,0)))</f>
        <v/>
      </c>
      <c r="D16" s="14">
        <f>IF(A16="","",INDEX(DATOS!$D$2:$D$1000,MATCH(A16,DATOS!$A$2:$A$1000,0)))</f>
        <v/>
      </c>
      <c r="E16" s="13">
        <f>IF(A16="","",IF(D16=0,"AGOTADO",IF(D16&lt;100,"⚠ BAJO","✓ DISPONIBLE")))</f>
        <v/>
      </c>
    </row>
    <row r="17">
      <c r="A17" s="7">
        <f>IF(ROWS($A$5:A17)&lt;=COUNTA(DATOS!$A$2:$A$1000),INDEX(DATOS!$A$2:$A$1000,ROWS($A$5:A17)),"")</f>
        <v/>
      </c>
      <c r="B17" s="8">
        <f>IF(A17="","",INDEX(DATOS!$B$2:$B$1000,MATCH(A17,DATOS!$A$2:$A$1000,0)))</f>
        <v/>
      </c>
      <c r="C17" s="9">
        <f>IF(A17="","",INDEX(DATOS!$C$2:$C$1000,MATCH(A17,DATOS!$A$2:$A$1000,0)))</f>
        <v/>
      </c>
      <c r="D17" s="10">
        <f>IF(A17="","",INDEX(DATOS!$D$2:$D$1000,MATCH(A17,DATOS!$A$2:$A$1000,0)))</f>
        <v/>
      </c>
      <c r="E17" s="9">
        <f>IF(A17="","",IF(D17=0,"AGOTADO",IF(D17&lt;100,"⚠ BAJO","✓ DISPONIBLE")))</f>
        <v/>
      </c>
    </row>
    <row r="18">
      <c r="A18" s="11">
        <f>IF(ROWS($A$5:A18)&lt;=COUNTA(DATOS!$A$2:$A$1000),INDEX(DATOS!$A$2:$A$1000,ROWS($A$5:A18)),"")</f>
        <v/>
      </c>
      <c r="B18" s="12">
        <f>IF(A18="","",INDEX(DATOS!$B$2:$B$1000,MATCH(A18,DATOS!$A$2:$A$1000,0)))</f>
        <v/>
      </c>
      <c r="C18" s="13">
        <f>IF(A18="","",INDEX(DATOS!$C$2:$C$1000,MATCH(A18,DATOS!$A$2:$A$1000,0)))</f>
        <v/>
      </c>
      <c r="D18" s="14">
        <f>IF(A18="","",INDEX(DATOS!$D$2:$D$1000,MATCH(A18,DATOS!$A$2:$A$1000,0)))</f>
        <v/>
      </c>
      <c r="E18" s="13">
        <f>IF(A18="","",IF(D18=0,"AGOTADO",IF(D18&lt;100,"⚠ BAJO","✓ DISPONIBLE")))</f>
        <v/>
      </c>
    </row>
    <row r="19">
      <c r="A19" s="7">
        <f>IF(ROWS($A$5:A19)&lt;=COUNTA(DATOS!$A$2:$A$1000),INDEX(DATOS!$A$2:$A$1000,ROWS($A$5:A19)),"")</f>
        <v/>
      </c>
      <c r="B19" s="8">
        <f>IF(A19="","",INDEX(DATOS!$B$2:$B$1000,MATCH(A19,DATOS!$A$2:$A$1000,0)))</f>
        <v/>
      </c>
      <c r="C19" s="9">
        <f>IF(A19="","",INDEX(DATOS!$C$2:$C$1000,MATCH(A19,DATOS!$A$2:$A$1000,0)))</f>
        <v/>
      </c>
      <c r="D19" s="10">
        <f>IF(A19="","",INDEX(DATOS!$D$2:$D$1000,MATCH(A19,DATOS!$A$2:$A$1000,0)))</f>
        <v/>
      </c>
      <c r="E19" s="9">
        <f>IF(A19="","",IF(D19=0,"AGOTADO",IF(D19&lt;100,"⚠ BAJO","✓ DISPONIBLE")))</f>
        <v/>
      </c>
    </row>
    <row r="20">
      <c r="A20" s="11">
        <f>IF(ROWS($A$5:A20)&lt;=COUNTA(DATOS!$A$2:$A$1000),INDEX(DATOS!$A$2:$A$1000,ROWS($A$5:A20)),"")</f>
        <v/>
      </c>
      <c r="B20" s="12">
        <f>IF(A20="","",INDEX(DATOS!$B$2:$B$1000,MATCH(A20,DATOS!$A$2:$A$1000,0)))</f>
        <v/>
      </c>
      <c r="C20" s="13">
        <f>IF(A20="","",INDEX(DATOS!$C$2:$C$1000,MATCH(A20,DATOS!$A$2:$A$1000,0)))</f>
        <v/>
      </c>
      <c r="D20" s="14">
        <f>IF(A20="","",INDEX(DATOS!$D$2:$D$1000,MATCH(A20,DATOS!$A$2:$A$1000,0)))</f>
        <v/>
      </c>
      <c r="E20" s="13">
        <f>IF(A20="","",IF(D20=0,"AGOTADO",IF(D20&lt;100,"⚠ BAJO","✓ DISPONIBLE")))</f>
        <v/>
      </c>
    </row>
    <row r="21">
      <c r="A21" s="7">
        <f>IF(ROWS($A$5:A21)&lt;=COUNTA(DATOS!$A$2:$A$1000),INDEX(DATOS!$A$2:$A$1000,ROWS($A$5:A21)),"")</f>
        <v/>
      </c>
      <c r="B21" s="8">
        <f>IF(A21="","",INDEX(DATOS!$B$2:$B$1000,MATCH(A21,DATOS!$A$2:$A$1000,0)))</f>
        <v/>
      </c>
      <c r="C21" s="9">
        <f>IF(A21="","",INDEX(DATOS!$C$2:$C$1000,MATCH(A21,DATOS!$A$2:$A$1000,0)))</f>
        <v/>
      </c>
      <c r="D21" s="10">
        <f>IF(A21="","",INDEX(DATOS!$D$2:$D$1000,MATCH(A21,DATOS!$A$2:$A$1000,0)))</f>
        <v/>
      </c>
      <c r="E21" s="9">
        <f>IF(A21="","",IF(D21=0,"AGOTADO",IF(D21&lt;100,"⚠ BAJO","✓ DISPONIBLE")))</f>
        <v/>
      </c>
    </row>
    <row r="22">
      <c r="A22" s="11">
        <f>IF(ROWS($A$5:A22)&lt;=COUNTA(DATOS!$A$2:$A$1000),INDEX(DATOS!$A$2:$A$1000,ROWS($A$5:A22)),"")</f>
        <v/>
      </c>
      <c r="B22" s="12">
        <f>IF(A22="","",INDEX(DATOS!$B$2:$B$1000,MATCH(A22,DATOS!$A$2:$A$1000,0)))</f>
        <v/>
      </c>
      <c r="C22" s="13">
        <f>IF(A22="","",INDEX(DATOS!$C$2:$C$1000,MATCH(A22,DATOS!$A$2:$A$1000,0)))</f>
        <v/>
      </c>
      <c r="D22" s="14">
        <f>IF(A22="","",INDEX(DATOS!$D$2:$D$1000,MATCH(A22,DATOS!$A$2:$A$1000,0)))</f>
        <v/>
      </c>
      <c r="E22" s="13">
        <f>IF(A22="","",IF(D22=0,"AGOTADO",IF(D22&lt;100,"⚠ BAJO","✓ DISPONIBLE")))</f>
        <v/>
      </c>
    </row>
    <row r="23">
      <c r="A23" s="7">
        <f>IF(ROWS($A$5:A23)&lt;=COUNTA(DATOS!$A$2:$A$1000),INDEX(DATOS!$A$2:$A$1000,ROWS($A$5:A23)),"")</f>
        <v/>
      </c>
      <c r="B23" s="8">
        <f>IF(A23="","",INDEX(DATOS!$B$2:$B$1000,MATCH(A23,DATOS!$A$2:$A$1000,0)))</f>
        <v/>
      </c>
      <c r="C23" s="9">
        <f>IF(A23="","",INDEX(DATOS!$C$2:$C$1000,MATCH(A23,DATOS!$A$2:$A$1000,0)))</f>
        <v/>
      </c>
      <c r="D23" s="10">
        <f>IF(A23="","",INDEX(DATOS!$D$2:$D$1000,MATCH(A23,DATOS!$A$2:$A$1000,0)))</f>
        <v/>
      </c>
      <c r="E23" s="9">
        <f>IF(A23="","",IF(D23=0,"AGOTADO",IF(D23&lt;100,"⚠ BAJO","✓ DISPONIBLE")))</f>
        <v/>
      </c>
    </row>
    <row r="24">
      <c r="A24" s="11">
        <f>IF(ROWS($A$5:A24)&lt;=COUNTA(DATOS!$A$2:$A$1000),INDEX(DATOS!$A$2:$A$1000,ROWS($A$5:A24)),"")</f>
        <v/>
      </c>
      <c r="B24" s="12">
        <f>IF(A24="","",INDEX(DATOS!$B$2:$B$1000,MATCH(A24,DATOS!$A$2:$A$1000,0)))</f>
        <v/>
      </c>
      <c r="C24" s="13">
        <f>IF(A24="","",INDEX(DATOS!$C$2:$C$1000,MATCH(A24,DATOS!$A$2:$A$1000,0)))</f>
        <v/>
      </c>
      <c r="D24" s="14">
        <f>IF(A24="","",INDEX(DATOS!$D$2:$D$1000,MATCH(A24,DATOS!$A$2:$A$1000,0)))</f>
        <v/>
      </c>
      <c r="E24" s="13">
        <f>IF(A24="","",IF(D24=0,"AGOTADO",IF(D24&lt;100,"⚠ BAJO","✓ DISPONIBLE")))</f>
        <v/>
      </c>
    </row>
    <row r="25">
      <c r="A25" s="7">
        <f>IF(ROWS($A$5:A25)&lt;=COUNTA(DATOS!$A$2:$A$1000),INDEX(DATOS!$A$2:$A$1000,ROWS($A$5:A25)),"")</f>
        <v/>
      </c>
      <c r="B25" s="8">
        <f>IF(A25="","",INDEX(DATOS!$B$2:$B$1000,MATCH(A25,DATOS!$A$2:$A$1000,0)))</f>
        <v/>
      </c>
      <c r="C25" s="9">
        <f>IF(A25="","",INDEX(DATOS!$C$2:$C$1000,MATCH(A25,DATOS!$A$2:$A$1000,0)))</f>
        <v/>
      </c>
      <c r="D25" s="10">
        <f>IF(A25="","",INDEX(DATOS!$D$2:$D$1000,MATCH(A25,DATOS!$A$2:$A$1000,0)))</f>
        <v/>
      </c>
      <c r="E25" s="9">
        <f>IF(A25="","",IF(D25=0,"AGOTADO",IF(D25&lt;100,"⚠ BAJO","✓ DISPONIBLE")))</f>
        <v/>
      </c>
    </row>
    <row r="26">
      <c r="A26" s="11">
        <f>IF(ROWS($A$5:A26)&lt;=COUNTA(DATOS!$A$2:$A$1000),INDEX(DATOS!$A$2:$A$1000,ROWS($A$5:A26)),"")</f>
        <v/>
      </c>
      <c r="B26" s="12">
        <f>IF(A26="","",INDEX(DATOS!$B$2:$B$1000,MATCH(A26,DATOS!$A$2:$A$1000,0)))</f>
        <v/>
      </c>
      <c r="C26" s="13">
        <f>IF(A26="","",INDEX(DATOS!$C$2:$C$1000,MATCH(A26,DATOS!$A$2:$A$1000,0)))</f>
        <v/>
      </c>
      <c r="D26" s="14">
        <f>IF(A26="","",INDEX(DATOS!$D$2:$D$1000,MATCH(A26,DATOS!$A$2:$A$1000,0)))</f>
        <v/>
      </c>
      <c r="E26" s="13">
        <f>IF(A26="","",IF(D26=0,"AGOTADO",IF(D26&lt;100,"⚠ BAJO","✓ DISPONIBLE")))</f>
        <v/>
      </c>
    </row>
    <row r="27">
      <c r="A27" s="7">
        <f>IF(ROWS($A$5:A27)&lt;=COUNTA(DATOS!$A$2:$A$1000),INDEX(DATOS!$A$2:$A$1000,ROWS($A$5:A27)),"")</f>
        <v/>
      </c>
      <c r="B27" s="8">
        <f>IF(A27="","",INDEX(DATOS!$B$2:$B$1000,MATCH(A27,DATOS!$A$2:$A$1000,0)))</f>
        <v/>
      </c>
      <c r="C27" s="9">
        <f>IF(A27="","",INDEX(DATOS!$C$2:$C$1000,MATCH(A27,DATOS!$A$2:$A$1000,0)))</f>
        <v/>
      </c>
      <c r="D27" s="10">
        <f>IF(A27="","",INDEX(DATOS!$D$2:$D$1000,MATCH(A27,DATOS!$A$2:$A$1000,0)))</f>
        <v/>
      </c>
      <c r="E27" s="9">
        <f>IF(A27="","",IF(D27=0,"AGOTADO",IF(D27&lt;100,"⚠ BAJO","✓ DISPONIBLE")))</f>
        <v/>
      </c>
    </row>
    <row r="28">
      <c r="A28" s="11">
        <f>IF(ROWS($A$5:A28)&lt;=COUNTA(DATOS!$A$2:$A$1000),INDEX(DATOS!$A$2:$A$1000,ROWS($A$5:A28)),"")</f>
        <v/>
      </c>
      <c r="B28" s="12">
        <f>IF(A28="","",INDEX(DATOS!$B$2:$B$1000,MATCH(A28,DATOS!$A$2:$A$1000,0)))</f>
        <v/>
      </c>
      <c r="C28" s="13">
        <f>IF(A28="","",INDEX(DATOS!$C$2:$C$1000,MATCH(A28,DATOS!$A$2:$A$1000,0)))</f>
        <v/>
      </c>
      <c r="D28" s="14">
        <f>IF(A28="","",INDEX(DATOS!$D$2:$D$1000,MATCH(A28,DATOS!$A$2:$A$1000,0)))</f>
        <v/>
      </c>
      <c r="E28" s="13">
        <f>IF(A28="","",IF(D28=0,"AGOTADO",IF(D28&lt;100,"⚠ BAJO","✓ DISPONIBLE")))</f>
        <v/>
      </c>
    </row>
    <row r="29">
      <c r="A29" s="7">
        <f>IF(ROWS($A$5:A29)&lt;=COUNTA(DATOS!$A$2:$A$1000),INDEX(DATOS!$A$2:$A$1000,ROWS($A$5:A29)),"")</f>
        <v/>
      </c>
      <c r="B29" s="8">
        <f>IF(A29="","",INDEX(DATOS!$B$2:$B$1000,MATCH(A29,DATOS!$A$2:$A$1000,0)))</f>
        <v/>
      </c>
      <c r="C29" s="9">
        <f>IF(A29="","",INDEX(DATOS!$C$2:$C$1000,MATCH(A29,DATOS!$A$2:$A$1000,0)))</f>
        <v/>
      </c>
      <c r="D29" s="10">
        <f>IF(A29="","",INDEX(DATOS!$D$2:$D$1000,MATCH(A29,DATOS!$A$2:$A$1000,0)))</f>
        <v/>
      </c>
      <c r="E29" s="9">
        <f>IF(A29="","",IF(D29=0,"AGOTADO",IF(D29&lt;100,"⚠ BAJO","✓ DISPONIBLE")))</f>
        <v/>
      </c>
    </row>
    <row r="30">
      <c r="A30" s="11">
        <f>IF(ROWS($A$5:A30)&lt;=COUNTA(DATOS!$A$2:$A$1000),INDEX(DATOS!$A$2:$A$1000,ROWS($A$5:A30)),"")</f>
        <v/>
      </c>
      <c r="B30" s="12">
        <f>IF(A30="","",INDEX(DATOS!$B$2:$B$1000,MATCH(A30,DATOS!$A$2:$A$1000,0)))</f>
        <v/>
      </c>
      <c r="C30" s="13">
        <f>IF(A30="","",INDEX(DATOS!$C$2:$C$1000,MATCH(A30,DATOS!$A$2:$A$1000,0)))</f>
        <v/>
      </c>
      <c r="D30" s="14">
        <f>IF(A30="","",INDEX(DATOS!$D$2:$D$1000,MATCH(A30,DATOS!$A$2:$A$1000,0)))</f>
        <v/>
      </c>
      <c r="E30" s="13">
        <f>IF(A30="","",IF(D30=0,"AGOTADO",IF(D30&lt;100,"⚠ BAJO","✓ DISPONIBLE")))</f>
        <v/>
      </c>
    </row>
    <row r="31">
      <c r="A31" s="7">
        <f>IF(ROWS($A$5:A31)&lt;=COUNTA(DATOS!$A$2:$A$1000),INDEX(DATOS!$A$2:$A$1000,ROWS($A$5:A31)),"")</f>
        <v/>
      </c>
      <c r="B31" s="8">
        <f>IF(A31="","",INDEX(DATOS!$B$2:$B$1000,MATCH(A31,DATOS!$A$2:$A$1000,0)))</f>
        <v/>
      </c>
      <c r="C31" s="9">
        <f>IF(A31="","",INDEX(DATOS!$C$2:$C$1000,MATCH(A31,DATOS!$A$2:$A$1000,0)))</f>
        <v/>
      </c>
      <c r="D31" s="10">
        <f>IF(A31="","",INDEX(DATOS!$D$2:$D$1000,MATCH(A31,DATOS!$A$2:$A$1000,0)))</f>
        <v/>
      </c>
      <c r="E31" s="9">
        <f>IF(A31="","",IF(D31=0,"AGOTADO",IF(D31&lt;100,"⚠ BAJO","✓ DISPONIBLE")))</f>
        <v/>
      </c>
    </row>
    <row r="32">
      <c r="A32" s="11">
        <f>IF(ROWS($A$5:A32)&lt;=COUNTA(DATOS!$A$2:$A$1000),INDEX(DATOS!$A$2:$A$1000,ROWS($A$5:A32)),"")</f>
        <v/>
      </c>
      <c r="B32" s="12">
        <f>IF(A32="","",INDEX(DATOS!$B$2:$B$1000,MATCH(A32,DATOS!$A$2:$A$1000,0)))</f>
        <v/>
      </c>
      <c r="C32" s="13">
        <f>IF(A32="","",INDEX(DATOS!$C$2:$C$1000,MATCH(A32,DATOS!$A$2:$A$1000,0)))</f>
        <v/>
      </c>
      <c r="D32" s="14">
        <f>IF(A32="","",INDEX(DATOS!$D$2:$D$1000,MATCH(A32,DATOS!$A$2:$A$1000,0)))</f>
        <v/>
      </c>
      <c r="E32" s="13">
        <f>IF(A32="","",IF(D32=0,"AGOTADO",IF(D32&lt;100,"⚠ BAJO","✓ DISPONIBLE")))</f>
        <v/>
      </c>
    </row>
    <row r="33">
      <c r="A33" s="7">
        <f>IF(ROWS($A$5:A33)&lt;=COUNTA(DATOS!$A$2:$A$1000),INDEX(DATOS!$A$2:$A$1000,ROWS($A$5:A33)),"")</f>
        <v/>
      </c>
      <c r="B33" s="8">
        <f>IF(A33="","",INDEX(DATOS!$B$2:$B$1000,MATCH(A33,DATOS!$A$2:$A$1000,0)))</f>
        <v/>
      </c>
      <c r="C33" s="9">
        <f>IF(A33="","",INDEX(DATOS!$C$2:$C$1000,MATCH(A33,DATOS!$A$2:$A$1000,0)))</f>
        <v/>
      </c>
      <c r="D33" s="10">
        <f>IF(A33="","",INDEX(DATOS!$D$2:$D$1000,MATCH(A33,DATOS!$A$2:$A$1000,0)))</f>
        <v/>
      </c>
      <c r="E33" s="9">
        <f>IF(A33="","",IF(D33=0,"AGOTADO",IF(D33&lt;100,"⚠ BAJO","✓ DISPONIBLE")))</f>
        <v/>
      </c>
    </row>
    <row r="34">
      <c r="A34" s="11">
        <f>IF(ROWS($A$5:A34)&lt;=COUNTA(DATOS!$A$2:$A$1000),INDEX(DATOS!$A$2:$A$1000,ROWS($A$5:A34)),"")</f>
        <v/>
      </c>
      <c r="B34" s="12">
        <f>IF(A34="","",INDEX(DATOS!$B$2:$B$1000,MATCH(A34,DATOS!$A$2:$A$1000,0)))</f>
        <v/>
      </c>
      <c r="C34" s="13">
        <f>IF(A34="","",INDEX(DATOS!$C$2:$C$1000,MATCH(A34,DATOS!$A$2:$A$1000,0)))</f>
        <v/>
      </c>
      <c r="D34" s="14">
        <f>IF(A34="","",INDEX(DATOS!$D$2:$D$1000,MATCH(A34,DATOS!$A$2:$A$1000,0)))</f>
        <v/>
      </c>
      <c r="E34" s="13">
        <f>IF(A34="","",IF(D34=0,"AGOTADO",IF(D34&lt;100,"⚠ BAJO","✓ DISPONIBLE")))</f>
        <v/>
      </c>
    </row>
    <row r="35">
      <c r="A35" s="7">
        <f>IF(ROWS($A$5:A35)&lt;=COUNTA(DATOS!$A$2:$A$1000),INDEX(DATOS!$A$2:$A$1000,ROWS($A$5:A35)),"")</f>
        <v/>
      </c>
      <c r="B35" s="8">
        <f>IF(A35="","",INDEX(DATOS!$B$2:$B$1000,MATCH(A35,DATOS!$A$2:$A$1000,0)))</f>
        <v/>
      </c>
      <c r="C35" s="9">
        <f>IF(A35="","",INDEX(DATOS!$C$2:$C$1000,MATCH(A35,DATOS!$A$2:$A$1000,0)))</f>
        <v/>
      </c>
      <c r="D35" s="10">
        <f>IF(A35="","",INDEX(DATOS!$D$2:$D$1000,MATCH(A35,DATOS!$A$2:$A$1000,0)))</f>
        <v/>
      </c>
      <c r="E35" s="9">
        <f>IF(A35="","",IF(D35=0,"AGOTADO",IF(D35&lt;100,"⚠ BAJO","✓ DISPONIBLE")))</f>
        <v/>
      </c>
    </row>
    <row r="36">
      <c r="A36" s="11">
        <f>IF(ROWS($A$5:A36)&lt;=COUNTA(DATOS!$A$2:$A$1000),INDEX(DATOS!$A$2:$A$1000,ROWS($A$5:A36)),"")</f>
        <v/>
      </c>
      <c r="B36" s="12">
        <f>IF(A36="","",INDEX(DATOS!$B$2:$B$1000,MATCH(A36,DATOS!$A$2:$A$1000,0)))</f>
        <v/>
      </c>
      <c r="C36" s="13">
        <f>IF(A36="","",INDEX(DATOS!$C$2:$C$1000,MATCH(A36,DATOS!$A$2:$A$1000,0)))</f>
        <v/>
      </c>
      <c r="D36" s="14">
        <f>IF(A36="","",INDEX(DATOS!$D$2:$D$1000,MATCH(A36,DATOS!$A$2:$A$1000,0)))</f>
        <v/>
      </c>
      <c r="E36" s="13">
        <f>IF(A36="","",IF(D36=0,"AGOTADO",IF(D36&lt;100,"⚠ BAJO","✓ DISPONIBLE")))</f>
        <v/>
      </c>
    </row>
    <row r="37">
      <c r="A37" s="7">
        <f>IF(ROWS($A$5:A37)&lt;=COUNTA(DATOS!$A$2:$A$1000),INDEX(DATOS!$A$2:$A$1000,ROWS($A$5:A37)),"")</f>
        <v/>
      </c>
      <c r="B37" s="8">
        <f>IF(A37="","",INDEX(DATOS!$B$2:$B$1000,MATCH(A37,DATOS!$A$2:$A$1000,0)))</f>
        <v/>
      </c>
      <c r="C37" s="9">
        <f>IF(A37="","",INDEX(DATOS!$C$2:$C$1000,MATCH(A37,DATOS!$A$2:$A$1000,0)))</f>
        <v/>
      </c>
      <c r="D37" s="10">
        <f>IF(A37="","",INDEX(DATOS!$D$2:$D$1000,MATCH(A37,DATOS!$A$2:$A$1000,0)))</f>
        <v/>
      </c>
      <c r="E37" s="9">
        <f>IF(A37="","",IF(D37=0,"AGOTADO",IF(D37&lt;100,"⚠ BAJO","✓ DISPONIBLE")))</f>
        <v/>
      </c>
    </row>
    <row r="38">
      <c r="A38" s="11">
        <f>IF(ROWS($A$5:A38)&lt;=COUNTA(DATOS!$A$2:$A$1000),INDEX(DATOS!$A$2:$A$1000,ROWS($A$5:A38)),"")</f>
        <v/>
      </c>
      <c r="B38" s="12">
        <f>IF(A38="","",INDEX(DATOS!$B$2:$B$1000,MATCH(A38,DATOS!$A$2:$A$1000,0)))</f>
        <v/>
      </c>
      <c r="C38" s="13">
        <f>IF(A38="","",INDEX(DATOS!$C$2:$C$1000,MATCH(A38,DATOS!$A$2:$A$1000,0)))</f>
        <v/>
      </c>
      <c r="D38" s="14">
        <f>IF(A38="","",INDEX(DATOS!$D$2:$D$1000,MATCH(A38,DATOS!$A$2:$A$1000,0)))</f>
        <v/>
      </c>
      <c r="E38" s="13">
        <f>IF(A38="","",IF(D38=0,"AGOTADO",IF(D38&lt;100,"⚠ BAJO","✓ DISPONIBLE")))</f>
        <v/>
      </c>
    </row>
    <row r="39">
      <c r="A39" s="7">
        <f>IF(ROWS($A$5:A39)&lt;=COUNTA(DATOS!$A$2:$A$1000),INDEX(DATOS!$A$2:$A$1000,ROWS($A$5:A39)),"")</f>
        <v/>
      </c>
      <c r="B39" s="8">
        <f>IF(A39="","",INDEX(DATOS!$B$2:$B$1000,MATCH(A39,DATOS!$A$2:$A$1000,0)))</f>
        <v/>
      </c>
      <c r="C39" s="9">
        <f>IF(A39="","",INDEX(DATOS!$C$2:$C$1000,MATCH(A39,DATOS!$A$2:$A$1000,0)))</f>
        <v/>
      </c>
      <c r="D39" s="10">
        <f>IF(A39="","",INDEX(DATOS!$D$2:$D$1000,MATCH(A39,DATOS!$A$2:$A$1000,0)))</f>
        <v/>
      </c>
      <c r="E39" s="9">
        <f>IF(A39="","",IF(D39=0,"AGOTADO",IF(D39&lt;100,"⚠ BAJO","✓ DISPONIBLE")))</f>
        <v/>
      </c>
    </row>
    <row r="40">
      <c r="A40" s="11">
        <f>IF(ROWS($A$5:A40)&lt;=COUNTA(DATOS!$A$2:$A$1000),INDEX(DATOS!$A$2:$A$1000,ROWS($A$5:A40)),"")</f>
        <v/>
      </c>
      <c r="B40" s="12">
        <f>IF(A40="","",INDEX(DATOS!$B$2:$B$1000,MATCH(A40,DATOS!$A$2:$A$1000,0)))</f>
        <v/>
      </c>
      <c r="C40" s="13">
        <f>IF(A40="","",INDEX(DATOS!$C$2:$C$1000,MATCH(A40,DATOS!$A$2:$A$1000,0)))</f>
        <v/>
      </c>
      <c r="D40" s="14">
        <f>IF(A40="","",INDEX(DATOS!$D$2:$D$1000,MATCH(A40,DATOS!$A$2:$A$1000,0)))</f>
        <v/>
      </c>
      <c r="E40" s="13">
        <f>IF(A40="","",IF(D40=0,"AGOTADO",IF(D40&lt;100,"⚠ BAJO","✓ DISPONIBLE")))</f>
        <v/>
      </c>
    </row>
    <row r="41">
      <c r="A41" s="7">
        <f>IF(ROWS($A$5:A41)&lt;=COUNTA(DATOS!$A$2:$A$1000),INDEX(DATOS!$A$2:$A$1000,ROWS($A$5:A41)),"")</f>
        <v/>
      </c>
      <c r="B41" s="8">
        <f>IF(A41="","",INDEX(DATOS!$B$2:$B$1000,MATCH(A41,DATOS!$A$2:$A$1000,0)))</f>
        <v/>
      </c>
      <c r="C41" s="9">
        <f>IF(A41="","",INDEX(DATOS!$C$2:$C$1000,MATCH(A41,DATOS!$A$2:$A$1000,0)))</f>
        <v/>
      </c>
      <c r="D41" s="10">
        <f>IF(A41="","",INDEX(DATOS!$D$2:$D$1000,MATCH(A41,DATOS!$A$2:$A$1000,0)))</f>
        <v/>
      </c>
      <c r="E41" s="9">
        <f>IF(A41="","",IF(D41=0,"AGOTADO",IF(D41&lt;100,"⚠ BAJO","✓ DISPONIBLE")))</f>
        <v/>
      </c>
    </row>
    <row r="42">
      <c r="A42" s="11">
        <f>IF(ROWS($A$5:A42)&lt;=COUNTA(DATOS!$A$2:$A$1000),INDEX(DATOS!$A$2:$A$1000,ROWS($A$5:A42)),"")</f>
        <v/>
      </c>
      <c r="B42" s="12">
        <f>IF(A42="","",INDEX(DATOS!$B$2:$B$1000,MATCH(A42,DATOS!$A$2:$A$1000,0)))</f>
        <v/>
      </c>
      <c r="C42" s="13">
        <f>IF(A42="","",INDEX(DATOS!$C$2:$C$1000,MATCH(A42,DATOS!$A$2:$A$1000,0)))</f>
        <v/>
      </c>
      <c r="D42" s="14">
        <f>IF(A42="","",INDEX(DATOS!$D$2:$D$1000,MATCH(A42,DATOS!$A$2:$A$1000,0)))</f>
        <v/>
      </c>
      <c r="E42" s="13">
        <f>IF(A42="","",IF(D42=0,"AGOTADO",IF(D42&lt;100,"⚠ BAJO","✓ DISPONIBLE")))</f>
        <v/>
      </c>
    </row>
    <row r="43">
      <c r="A43" s="7">
        <f>IF(ROWS($A$5:A43)&lt;=COUNTA(DATOS!$A$2:$A$1000),INDEX(DATOS!$A$2:$A$1000,ROWS($A$5:A43)),"")</f>
        <v/>
      </c>
      <c r="B43" s="8">
        <f>IF(A43="","",INDEX(DATOS!$B$2:$B$1000,MATCH(A43,DATOS!$A$2:$A$1000,0)))</f>
        <v/>
      </c>
      <c r="C43" s="9">
        <f>IF(A43="","",INDEX(DATOS!$C$2:$C$1000,MATCH(A43,DATOS!$A$2:$A$1000,0)))</f>
        <v/>
      </c>
      <c r="D43" s="10">
        <f>IF(A43="","",INDEX(DATOS!$D$2:$D$1000,MATCH(A43,DATOS!$A$2:$A$1000,0)))</f>
        <v/>
      </c>
      <c r="E43" s="9">
        <f>IF(A43="","",IF(D43=0,"AGOTADO",IF(D43&lt;100,"⚠ BAJO","✓ DISPONIBLE")))</f>
        <v/>
      </c>
    </row>
    <row r="44">
      <c r="A44" s="11">
        <f>IF(ROWS($A$5:A44)&lt;=COUNTA(DATOS!$A$2:$A$1000),INDEX(DATOS!$A$2:$A$1000,ROWS($A$5:A44)),"")</f>
        <v/>
      </c>
      <c r="B44" s="12">
        <f>IF(A44="","",INDEX(DATOS!$B$2:$B$1000,MATCH(A44,DATOS!$A$2:$A$1000,0)))</f>
        <v/>
      </c>
      <c r="C44" s="13">
        <f>IF(A44="","",INDEX(DATOS!$C$2:$C$1000,MATCH(A44,DATOS!$A$2:$A$1000,0)))</f>
        <v/>
      </c>
      <c r="D44" s="14">
        <f>IF(A44="","",INDEX(DATOS!$D$2:$D$1000,MATCH(A44,DATOS!$A$2:$A$1000,0)))</f>
        <v/>
      </c>
      <c r="E44" s="13">
        <f>IF(A44="","",IF(D44=0,"AGOTADO",IF(D44&lt;100,"⚠ BAJO","✓ DISPONIBLE")))</f>
        <v/>
      </c>
    </row>
    <row r="45">
      <c r="A45" s="7">
        <f>IF(ROWS($A$5:A45)&lt;=COUNTA(DATOS!$A$2:$A$1000),INDEX(DATOS!$A$2:$A$1000,ROWS($A$5:A45)),"")</f>
        <v/>
      </c>
      <c r="B45" s="8">
        <f>IF(A45="","",INDEX(DATOS!$B$2:$B$1000,MATCH(A45,DATOS!$A$2:$A$1000,0)))</f>
        <v/>
      </c>
      <c r="C45" s="9">
        <f>IF(A45="","",INDEX(DATOS!$C$2:$C$1000,MATCH(A45,DATOS!$A$2:$A$1000,0)))</f>
        <v/>
      </c>
      <c r="D45" s="10">
        <f>IF(A45="","",INDEX(DATOS!$D$2:$D$1000,MATCH(A45,DATOS!$A$2:$A$1000,0)))</f>
        <v/>
      </c>
      <c r="E45" s="9">
        <f>IF(A45="","",IF(D45=0,"AGOTADO",IF(D45&lt;100,"⚠ BAJO","✓ DISPONIBLE")))</f>
        <v/>
      </c>
    </row>
    <row r="46">
      <c r="A46" s="11">
        <f>IF(ROWS($A$5:A46)&lt;=COUNTA(DATOS!$A$2:$A$1000),INDEX(DATOS!$A$2:$A$1000,ROWS($A$5:A46)),"")</f>
        <v/>
      </c>
      <c r="B46" s="12">
        <f>IF(A46="","",INDEX(DATOS!$B$2:$B$1000,MATCH(A46,DATOS!$A$2:$A$1000,0)))</f>
        <v/>
      </c>
      <c r="C46" s="13">
        <f>IF(A46="","",INDEX(DATOS!$C$2:$C$1000,MATCH(A46,DATOS!$A$2:$A$1000,0)))</f>
        <v/>
      </c>
      <c r="D46" s="14">
        <f>IF(A46="","",INDEX(DATOS!$D$2:$D$1000,MATCH(A46,DATOS!$A$2:$A$1000,0)))</f>
        <v/>
      </c>
      <c r="E46" s="13">
        <f>IF(A46="","",IF(D46=0,"AGOTADO",IF(D46&lt;100,"⚠ BAJO","✓ DISPONIBLE")))</f>
        <v/>
      </c>
    </row>
    <row r="47">
      <c r="A47" s="7">
        <f>IF(ROWS($A$5:A47)&lt;=COUNTA(DATOS!$A$2:$A$1000),INDEX(DATOS!$A$2:$A$1000,ROWS($A$5:A47)),"")</f>
        <v/>
      </c>
      <c r="B47" s="8">
        <f>IF(A47="","",INDEX(DATOS!$B$2:$B$1000,MATCH(A47,DATOS!$A$2:$A$1000,0)))</f>
        <v/>
      </c>
      <c r="C47" s="9">
        <f>IF(A47="","",INDEX(DATOS!$C$2:$C$1000,MATCH(A47,DATOS!$A$2:$A$1000,0)))</f>
        <v/>
      </c>
      <c r="D47" s="10">
        <f>IF(A47="","",INDEX(DATOS!$D$2:$D$1000,MATCH(A47,DATOS!$A$2:$A$1000,0)))</f>
        <v/>
      </c>
      <c r="E47" s="9">
        <f>IF(A47="","",IF(D47=0,"AGOTADO",IF(D47&lt;100,"⚠ BAJO","✓ DISPONIBLE")))</f>
        <v/>
      </c>
    </row>
    <row r="48">
      <c r="A48" s="11">
        <f>IF(ROWS($A$5:A48)&lt;=COUNTA(DATOS!$A$2:$A$1000),INDEX(DATOS!$A$2:$A$1000,ROWS($A$5:A48)),"")</f>
        <v/>
      </c>
      <c r="B48" s="12">
        <f>IF(A48="","",INDEX(DATOS!$B$2:$B$1000,MATCH(A48,DATOS!$A$2:$A$1000,0)))</f>
        <v/>
      </c>
      <c r="C48" s="13">
        <f>IF(A48="","",INDEX(DATOS!$C$2:$C$1000,MATCH(A48,DATOS!$A$2:$A$1000,0)))</f>
        <v/>
      </c>
      <c r="D48" s="14">
        <f>IF(A48="","",INDEX(DATOS!$D$2:$D$1000,MATCH(A48,DATOS!$A$2:$A$1000,0)))</f>
        <v/>
      </c>
      <c r="E48" s="13">
        <f>IF(A48="","",IF(D48=0,"AGOTADO",IF(D48&lt;100,"⚠ BAJO","✓ DISPONIBLE")))</f>
        <v/>
      </c>
    </row>
    <row r="49">
      <c r="A49" s="7">
        <f>IF(ROWS($A$5:A49)&lt;=COUNTA(DATOS!$A$2:$A$1000),INDEX(DATOS!$A$2:$A$1000,ROWS($A$5:A49)),"")</f>
        <v/>
      </c>
      <c r="B49" s="8">
        <f>IF(A49="","",INDEX(DATOS!$B$2:$B$1000,MATCH(A49,DATOS!$A$2:$A$1000,0)))</f>
        <v/>
      </c>
      <c r="C49" s="9">
        <f>IF(A49="","",INDEX(DATOS!$C$2:$C$1000,MATCH(A49,DATOS!$A$2:$A$1000,0)))</f>
        <v/>
      </c>
      <c r="D49" s="10">
        <f>IF(A49="","",INDEX(DATOS!$D$2:$D$1000,MATCH(A49,DATOS!$A$2:$A$1000,0)))</f>
        <v/>
      </c>
      <c r="E49" s="9">
        <f>IF(A49="","",IF(D49=0,"AGOTADO",IF(D49&lt;100,"⚠ BAJO","✓ DISPONIBLE")))</f>
        <v/>
      </c>
    </row>
    <row r="50">
      <c r="A50" s="11">
        <f>IF(ROWS($A$5:A50)&lt;=COUNTA(DATOS!$A$2:$A$1000),INDEX(DATOS!$A$2:$A$1000,ROWS($A$5:A50)),"")</f>
        <v/>
      </c>
      <c r="B50" s="12">
        <f>IF(A50="","",INDEX(DATOS!$B$2:$B$1000,MATCH(A50,DATOS!$A$2:$A$1000,0)))</f>
        <v/>
      </c>
      <c r="C50" s="13">
        <f>IF(A50="","",INDEX(DATOS!$C$2:$C$1000,MATCH(A50,DATOS!$A$2:$A$1000,0)))</f>
        <v/>
      </c>
      <c r="D50" s="14">
        <f>IF(A50="","",INDEX(DATOS!$D$2:$D$1000,MATCH(A50,DATOS!$A$2:$A$1000,0)))</f>
        <v/>
      </c>
      <c r="E50" s="13">
        <f>IF(A50="","",IF(D50=0,"AGOTADO",IF(D50&lt;100,"⚠ BAJO","✓ DISPONIBLE")))</f>
        <v/>
      </c>
    </row>
    <row r="51">
      <c r="A51" s="7">
        <f>IF(ROWS($A$5:A51)&lt;=COUNTA(DATOS!$A$2:$A$1000),INDEX(DATOS!$A$2:$A$1000,ROWS($A$5:A51)),"")</f>
        <v/>
      </c>
      <c r="B51" s="8">
        <f>IF(A51="","",INDEX(DATOS!$B$2:$B$1000,MATCH(A51,DATOS!$A$2:$A$1000,0)))</f>
        <v/>
      </c>
      <c r="C51" s="9">
        <f>IF(A51="","",INDEX(DATOS!$C$2:$C$1000,MATCH(A51,DATOS!$A$2:$A$1000,0)))</f>
        <v/>
      </c>
      <c r="D51" s="10">
        <f>IF(A51="","",INDEX(DATOS!$D$2:$D$1000,MATCH(A51,DATOS!$A$2:$A$1000,0)))</f>
        <v/>
      </c>
      <c r="E51" s="9">
        <f>IF(A51="","",IF(D51=0,"AGOTADO",IF(D51&lt;100,"⚠ BAJO","✓ DISPONIBLE")))</f>
        <v/>
      </c>
    </row>
    <row r="52">
      <c r="A52" s="11">
        <f>IF(ROWS($A$5:A52)&lt;=COUNTA(DATOS!$A$2:$A$1000),INDEX(DATOS!$A$2:$A$1000,ROWS($A$5:A52)),"")</f>
        <v/>
      </c>
      <c r="B52" s="12">
        <f>IF(A52="","",INDEX(DATOS!$B$2:$B$1000,MATCH(A52,DATOS!$A$2:$A$1000,0)))</f>
        <v/>
      </c>
      <c r="C52" s="13">
        <f>IF(A52="","",INDEX(DATOS!$C$2:$C$1000,MATCH(A52,DATOS!$A$2:$A$1000,0)))</f>
        <v/>
      </c>
      <c r="D52" s="14">
        <f>IF(A52="","",INDEX(DATOS!$D$2:$D$1000,MATCH(A52,DATOS!$A$2:$A$1000,0)))</f>
        <v/>
      </c>
      <c r="E52" s="13">
        <f>IF(A52="","",IF(D52=0,"AGOTADO",IF(D52&lt;100,"⚠ BAJO","✓ DISPONIBLE")))</f>
        <v/>
      </c>
    </row>
    <row r="53">
      <c r="A53" s="7">
        <f>IF(ROWS($A$5:A53)&lt;=COUNTA(DATOS!$A$2:$A$1000),INDEX(DATOS!$A$2:$A$1000,ROWS($A$5:A53)),"")</f>
        <v/>
      </c>
      <c r="B53" s="8">
        <f>IF(A53="","",INDEX(DATOS!$B$2:$B$1000,MATCH(A53,DATOS!$A$2:$A$1000,0)))</f>
        <v/>
      </c>
      <c r="C53" s="9">
        <f>IF(A53="","",INDEX(DATOS!$C$2:$C$1000,MATCH(A53,DATOS!$A$2:$A$1000,0)))</f>
        <v/>
      </c>
      <c r="D53" s="10">
        <f>IF(A53="","",INDEX(DATOS!$D$2:$D$1000,MATCH(A53,DATOS!$A$2:$A$1000,0)))</f>
        <v/>
      </c>
      <c r="E53" s="9">
        <f>IF(A53="","",IF(D53=0,"AGOTADO",IF(D53&lt;100,"⚠ BAJO","✓ DISPONIBLE")))</f>
        <v/>
      </c>
    </row>
    <row r="54">
      <c r="A54" s="11">
        <f>IF(ROWS($A$5:A54)&lt;=COUNTA(DATOS!$A$2:$A$1000),INDEX(DATOS!$A$2:$A$1000,ROWS($A$5:A54)),"")</f>
        <v/>
      </c>
      <c r="B54" s="12">
        <f>IF(A54="","",INDEX(DATOS!$B$2:$B$1000,MATCH(A54,DATOS!$A$2:$A$1000,0)))</f>
        <v/>
      </c>
      <c r="C54" s="13">
        <f>IF(A54="","",INDEX(DATOS!$C$2:$C$1000,MATCH(A54,DATOS!$A$2:$A$1000,0)))</f>
        <v/>
      </c>
      <c r="D54" s="14">
        <f>IF(A54="","",INDEX(DATOS!$D$2:$D$1000,MATCH(A54,DATOS!$A$2:$A$1000,0)))</f>
        <v/>
      </c>
      <c r="E54" s="13">
        <f>IF(A54="","",IF(D54=0,"AGOTADO",IF(D54&lt;100,"⚠ BAJO","✓ DISPONIBLE")))</f>
        <v/>
      </c>
    </row>
    <row r="55">
      <c r="A55" s="7">
        <f>IF(ROWS($A$5:A55)&lt;=COUNTA(DATOS!$A$2:$A$1000),INDEX(DATOS!$A$2:$A$1000,ROWS($A$5:A55)),"")</f>
        <v/>
      </c>
      <c r="B55" s="8">
        <f>IF(A55="","",INDEX(DATOS!$B$2:$B$1000,MATCH(A55,DATOS!$A$2:$A$1000,0)))</f>
        <v/>
      </c>
      <c r="C55" s="9">
        <f>IF(A55="","",INDEX(DATOS!$C$2:$C$1000,MATCH(A55,DATOS!$A$2:$A$1000,0)))</f>
        <v/>
      </c>
      <c r="D55" s="10">
        <f>IF(A55="","",INDEX(DATOS!$D$2:$D$1000,MATCH(A55,DATOS!$A$2:$A$1000,0)))</f>
        <v/>
      </c>
      <c r="E55" s="9">
        <f>IF(A55="","",IF(D55=0,"AGOTADO",IF(D55&lt;100,"⚠ BAJO","✓ DISPONIBLE")))</f>
        <v/>
      </c>
    </row>
    <row r="56">
      <c r="A56" s="11">
        <f>IF(ROWS($A$5:A56)&lt;=COUNTA(DATOS!$A$2:$A$1000),INDEX(DATOS!$A$2:$A$1000,ROWS($A$5:A56)),"")</f>
        <v/>
      </c>
      <c r="B56" s="12">
        <f>IF(A56="","",INDEX(DATOS!$B$2:$B$1000,MATCH(A56,DATOS!$A$2:$A$1000,0)))</f>
        <v/>
      </c>
      <c r="C56" s="13">
        <f>IF(A56="","",INDEX(DATOS!$C$2:$C$1000,MATCH(A56,DATOS!$A$2:$A$1000,0)))</f>
        <v/>
      </c>
      <c r="D56" s="14">
        <f>IF(A56="","",INDEX(DATOS!$D$2:$D$1000,MATCH(A56,DATOS!$A$2:$A$1000,0)))</f>
        <v/>
      </c>
      <c r="E56" s="13">
        <f>IF(A56="","",IF(D56=0,"AGOTADO",IF(D56&lt;100,"⚠ BAJO","✓ DISPONIBLE")))</f>
        <v/>
      </c>
    </row>
    <row r="57">
      <c r="A57" s="7">
        <f>IF(ROWS($A$5:A57)&lt;=COUNTA(DATOS!$A$2:$A$1000),INDEX(DATOS!$A$2:$A$1000,ROWS($A$5:A57)),"")</f>
        <v/>
      </c>
      <c r="B57" s="8">
        <f>IF(A57="","",INDEX(DATOS!$B$2:$B$1000,MATCH(A57,DATOS!$A$2:$A$1000,0)))</f>
        <v/>
      </c>
      <c r="C57" s="9">
        <f>IF(A57="","",INDEX(DATOS!$C$2:$C$1000,MATCH(A57,DATOS!$A$2:$A$1000,0)))</f>
        <v/>
      </c>
      <c r="D57" s="10">
        <f>IF(A57="","",INDEX(DATOS!$D$2:$D$1000,MATCH(A57,DATOS!$A$2:$A$1000,0)))</f>
        <v/>
      </c>
      <c r="E57" s="9">
        <f>IF(A57="","",IF(D57=0,"AGOTADO",IF(D57&lt;100,"⚠ BAJO","✓ DISPONIBLE")))</f>
        <v/>
      </c>
    </row>
    <row r="58">
      <c r="A58" s="11">
        <f>IF(ROWS($A$5:A58)&lt;=COUNTA(DATOS!$A$2:$A$1000),INDEX(DATOS!$A$2:$A$1000,ROWS($A$5:A58)),"")</f>
        <v/>
      </c>
      <c r="B58" s="12">
        <f>IF(A58="","",INDEX(DATOS!$B$2:$B$1000,MATCH(A58,DATOS!$A$2:$A$1000,0)))</f>
        <v/>
      </c>
      <c r="C58" s="13">
        <f>IF(A58="","",INDEX(DATOS!$C$2:$C$1000,MATCH(A58,DATOS!$A$2:$A$1000,0)))</f>
        <v/>
      </c>
      <c r="D58" s="14">
        <f>IF(A58="","",INDEX(DATOS!$D$2:$D$1000,MATCH(A58,DATOS!$A$2:$A$1000,0)))</f>
        <v/>
      </c>
      <c r="E58" s="13">
        <f>IF(A58="","",IF(D58=0,"AGOTADO",IF(D58&lt;100,"⚠ BAJO","✓ DISPONIBLE")))</f>
        <v/>
      </c>
    </row>
    <row r="59">
      <c r="A59" s="7">
        <f>IF(ROWS($A$5:A59)&lt;=COUNTA(DATOS!$A$2:$A$1000),INDEX(DATOS!$A$2:$A$1000,ROWS($A$5:A59)),"")</f>
        <v/>
      </c>
      <c r="B59" s="8">
        <f>IF(A59="","",INDEX(DATOS!$B$2:$B$1000,MATCH(A59,DATOS!$A$2:$A$1000,0)))</f>
        <v/>
      </c>
      <c r="C59" s="9">
        <f>IF(A59="","",INDEX(DATOS!$C$2:$C$1000,MATCH(A59,DATOS!$A$2:$A$1000,0)))</f>
        <v/>
      </c>
      <c r="D59" s="10">
        <f>IF(A59="","",INDEX(DATOS!$D$2:$D$1000,MATCH(A59,DATOS!$A$2:$A$1000,0)))</f>
        <v/>
      </c>
      <c r="E59" s="9">
        <f>IF(A59="","",IF(D59=0,"AGOTADO",IF(D59&lt;100,"⚠ BAJO","✓ DISPONIBLE")))</f>
        <v/>
      </c>
    </row>
    <row r="60">
      <c r="A60" s="11">
        <f>IF(ROWS($A$5:A60)&lt;=COUNTA(DATOS!$A$2:$A$1000),INDEX(DATOS!$A$2:$A$1000,ROWS($A$5:A60)),"")</f>
        <v/>
      </c>
      <c r="B60" s="12">
        <f>IF(A60="","",INDEX(DATOS!$B$2:$B$1000,MATCH(A60,DATOS!$A$2:$A$1000,0)))</f>
        <v/>
      </c>
      <c r="C60" s="13">
        <f>IF(A60="","",INDEX(DATOS!$C$2:$C$1000,MATCH(A60,DATOS!$A$2:$A$1000,0)))</f>
        <v/>
      </c>
      <c r="D60" s="14">
        <f>IF(A60="","",INDEX(DATOS!$D$2:$D$1000,MATCH(A60,DATOS!$A$2:$A$1000,0)))</f>
        <v/>
      </c>
      <c r="E60" s="13">
        <f>IF(A60="","",IF(D60=0,"AGOTADO",IF(D60&lt;100,"⚠ BAJO","✓ DISPONIBLE")))</f>
        <v/>
      </c>
    </row>
    <row r="61">
      <c r="A61" s="7">
        <f>IF(ROWS($A$5:A61)&lt;=COUNTA(DATOS!$A$2:$A$1000),INDEX(DATOS!$A$2:$A$1000,ROWS($A$5:A61)),"")</f>
        <v/>
      </c>
      <c r="B61" s="8">
        <f>IF(A61="","",INDEX(DATOS!$B$2:$B$1000,MATCH(A61,DATOS!$A$2:$A$1000,0)))</f>
        <v/>
      </c>
      <c r="C61" s="9">
        <f>IF(A61="","",INDEX(DATOS!$C$2:$C$1000,MATCH(A61,DATOS!$A$2:$A$1000,0)))</f>
        <v/>
      </c>
      <c r="D61" s="10">
        <f>IF(A61="","",INDEX(DATOS!$D$2:$D$1000,MATCH(A61,DATOS!$A$2:$A$1000,0)))</f>
        <v/>
      </c>
      <c r="E61" s="9">
        <f>IF(A61="","",IF(D61=0,"AGOTADO",IF(D61&lt;100,"⚠ BAJO","✓ DISPONIBLE")))</f>
        <v/>
      </c>
    </row>
    <row r="62">
      <c r="A62" s="11">
        <f>IF(ROWS($A$5:A62)&lt;=COUNTA(DATOS!$A$2:$A$1000),INDEX(DATOS!$A$2:$A$1000,ROWS($A$5:A62)),"")</f>
        <v/>
      </c>
      <c r="B62" s="12">
        <f>IF(A62="","",INDEX(DATOS!$B$2:$B$1000,MATCH(A62,DATOS!$A$2:$A$1000,0)))</f>
        <v/>
      </c>
      <c r="C62" s="13">
        <f>IF(A62="","",INDEX(DATOS!$C$2:$C$1000,MATCH(A62,DATOS!$A$2:$A$1000,0)))</f>
        <v/>
      </c>
      <c r="D62" s="14">
        <f>IF(A62="","",INDEX(DATOS!$D$2:$D$1000,MATCH(A62,DATOS!$A$2:$A$1000,0)))</f>
        <v/>
      </c>
      <c r="E62" s="13">
        <f>IF(A62="","",IF(D62=0,"AGOTADO",IF(D62&lt;100,"⚠ BAJO","✓ DISPONIBLE")))</f>
        <v/>
      </c>
    </row>
    <row r="63">
      <c r="A63" s="7">
        <f>IF(ROWS($A$5:A63)&lt;=COUNTA(DATOS!$A$2:$A$1000),INDEX(DATOS!$A$2:$A$1000,ROWS($A$5:A63)),"")</f>
        <v/>
      </c>
      <c r="B63" s="8">
        <f>IF(A63="","",INDEX(DATOS!$B$2:$B$1000,MATCH(A63,DATOS!$A$2:$A$1000,0)))</f>
        <v/>
      </c>
      <c r="C63" s="9">
        <f>IF(A63="","",INDEX(DATOS!$C$2:$C$1000,MATCH(A63,DATOS!$A$2:$A$1000,0)))</f>
        <v/>
      </c>
      <c r="D63" s="10">
        <f>IF(A63="","",INDEX(DATOS!$D$2:$D$1000,MATCH(A63,DATOS!$A$2:$A$1000,0)))</f>
        <v/>
      </c>
      <c r="E63" s="9">
        <f>IF(A63="","",IF(D63=0,"AGOTADO",IF(D63&lt;100,"⚠ BAJO","✓ DISPONIBLE")))</f>
        <v/>
      </c>
    </row>
    <row r="64">
      <c r="A64" s="11">
        <f>IF(ROWS($A$5:A64)&lt;=COUNTA(DATOS!$A$2:$A$1000),INDEX(DATOS!$A$2:$A$1000,ROWS($A$5:A64)),"")</f>
        <v/>
      </c>
      <c r="B64" s="12">
        <f>IF(A64="","",INDEX(DATOS!$B$2:$B$1000,MATCH(A64,DATOS!$A$2:$A$1000,0)))</f>
        <v/>
      </c>
      <c r="C64" s="13">
        <f>IF(A64="","",INDEX(DATOS!$C$2:$C$1000,MATCH(A64,DATOS!$A$2:$A$1000,0)))</f>
        <v/>
      </c>
      <c r="D64" s="14">
        <f>IF(A64="","",INDEX(DATOS!$D$2:$D$1000,MATCH(A64,DATOS!$A$2:$A$1000,0)))</f>
        <v/>
      </c>
      <c r="E64" s="13">
        <f>IF(A64="","",IF(D64=0,"AGOTADO",IF(D64&lt;100,"⚠ BAJO","✓ DISPONIBLE")))</f>
        <v/>
      </c>
    </row>
    <row r="65">
      <c r="A65" s="7">
        <f>IF(ROWS($A$5:A65)&lt;=COUNTA(DATOS!$A$2:$A$1000),INDEX(DATOS!$A$2:$A$1000,ROWS($A$5:A65)),"")</f>
        <v/>
      </c>
      <c r="B65" s="8">
        <f>IF(A65="","",INDEX(DATOS!$B$2:$B$1000,MATCH(A65,DATOS!$A$2:$A$1000,0)))</f>
        <v/>
      </c>
      <c r="C65" s="9">
        <f>IF(A65="","",INDEX(DATOS!$C$2:$C$1000,MATCH(A65,DATOS!$A$2:$A$1000,0)))</f>
        <v/>
      </c>
      <c r="D65" s="10">
        <f>IF(A65="","",INDEX(DATOS!$D$2:$D$1000,MATCH(A65,DATOS!$A$2:$A$1000,0)))</f>
        <v/>
      </c>
      <c r="E65" s="9">
        <f>IF(A65="","",IF(D65=0,"AGOTADO",IF(D65&lt;100,"⚠ BAJO","✓ DISPONIBLE")))</f>
        <v/>
      </c>
    </row>
    <row r="66">
      <c r="A66" s="11">
        <f>IF(ROWS($A$5:A66)&lt;=COUNTA(DATOS!$A$2:$A$1000),INDEX(DATOS!$A$2:$A$1000,ROWS($A$5:A66)),"")</f>
        <v/>
      </c>
      <c r="B66" s="12">
        <f>IF(A66="","",INDEX(DATOS!$B$2:$B$1000,MATCH(A66,DATOS!$A$2:$A$1000,0)))</f>
        <v/>
      </c>
      <c r="C66" s="13">
        <f>IF(A66="","",INDEX(DATOS!$C$2:$C$1000,MATCH(A66,DATOS!$A$2:$A$1000,0)))</f>
        <v/>
      </c>
      <c r="D66" s="14">
        <f>IF(A66="","",INDEX(DATOS!$D$2:$D$1000,MATCH(A66,DATOS!$A$2:$A$1000,0)))</f>
        <v/>
      </c>
      <c r="E66" s="13">
        <f>IF(A66="","",IF(D66=0,"AGOTADO",IF(D66&lt;100,"⚠ BAJO","✓ DISPONIBLE")))</f>
        <v/>
      </c>
    </row>
    <row r="67">
      <c r="A67" s="7">
        <f>IF(ROWS($A$5:A67)&lt;=COUNTA(DATOS!$A$2:$A$1000),INDEX(DATOS!$A$2:$A$1000,ROWS($A$5:A67)),"")</f>
        <v/>
      </c>
      <c r="B67" s="8">
        <f>IF(A67="","",INDEX(DATOS!$B$2:$B$1000,MATCH(A67,DATOS!$A$2:$A$1000,0)))</f>
        <v/>
      </c>
      <c r="C67" s="9">
        <f>IF(A67="","",INDEX(DATOS!$C$2:$C$1000,MATCH(A67,DATOS!$A$2:$A$1000,0)))</f>
        <v/>
      </c>
      <c r="D67" s="10">
        <f>IF(A67="","",INDEX(DATOS!$D$2:$D$1000,MATCH(A67,DATOS!$A$2:$A$1000,0)))</f>
        <v/>
      </c>
      <c r="E67" s="9">
        <f>IF(A67="","",IF(D67=0,"AGOTADO",IF(D67&lt;100,"⚠ BAJO","✓ DISPONIBLE")))</f>
        <v/>
      </c>
    </row>
    <row r="68">
      <c r="A68" s="11">
        <f>IF(ROWS($A$5:A68)&lt;=COUNTA(DATOS!$A$2:$A$1000),INDEX(DATOS!$A$2:$A$1000,ROWS($A$5:A68)),"")</f>
        <v/>
      </c>
      <c r="B68" s="12">
        <f>IF(A68="","",INDEX(DATOS!$B$2:$B$1000,MATCH(A68,DATOS!$A$2:$A$1000,0)))</f>
        <v/>
      </c>
      <c r="C68" s="13">
        <f>IF(A68="","",INDEX(DATOS!$C$2:$C$1000,MATCH(A68,DATOS!$A$2:$A$1000,0)))</f>
        <v/>
      </c>
      <c r="D68" s="14">
        <f>IF(A68="","",INDEX(DATOS!$D$2:$D$1000,MATCH(A68,DATOS!$A$2:$A$1000,0)))</f>
        <v/>
      </c>
      <c r="E68" s="13">
        <f>IF(A68="","",IF(D68=0,"AGOTADO",IF(D68&lt;100,"⚠ BAJO","✓ DISPONIBLE")))</f>
        <v/>
      </c>
    </row>
    <row r="69">
      <c r="A69" s="7">
        <f>IF(ROWS($A$5:A69)&lt;=COUNTA(DATOS!$A$2:$A$1000),INDEX(DATOS!$A$2:$A$1000,ROWS($A$5:A69)),"")</f>
        <v/>
      </c>
      <c r="B69" s="8">
        <f>IF(A69="","",INDEX(DATOS!$B$2:$B$1000,MATCH(A69,DATOS!$A$2:$A$1000,0)))</f>
        <v/>
      </c>
      <c r="C69" s="9">
        <f>IF(A69="","",INDEX(DATOS!$C$2:$C$1000,MATCH(A69,DATOS!$A$2:$A$1000,0)))</f>
        <v/>
      </c>
      <c r="D69" s="10">
        <f>IF(A69="","",INDEX(DATOS!$D$2:$D$1000,MATCH(A69,DATOS!$A$2:$A$1000,0)))</f>
        <v/>
      </c>
      <c r="E69" s="9">
        <f>IF(A69="","",IF(D69=0,"AGOTADO",IF(D69&lt;100,"⚠ BAJO","✓ DISPONIBLE")))</f>
        <v/>
      </c>
    </row>
    <row r="70">
      <c r="A70" s="11">
        <f>IF(ROWS($A$5:A70)&lt;=COUNTA(DATOS!$A$2:$A$1000),INDEX(DATOS!$A$2:$A$1000,ROWS($A$5:A70)),"")</f>
        <v/>
      </c>
      <c r="B70" s="12">
        <f>IF(A70="","",INDEX(DATOS!$B$2:$B$1000,MATCH(A70,DATOS!$A$2:$A$1000,0)))</f>
        <v/>
      </c>
      <c r="C70" s="13">
        <f>IF(A70="","",INDEX(DATOS!$C$2:$C$1000,MATCH(A70,DATOS!$A$2:$A$1000,0)))</f>
        <v/>
      </c>
      <c r="D70" s="14">
        <f>IF(A70="","",INDEX(DATOS!$D$2:$D$1000,MATCH(A70,DATOS!$A$2:$A$1000,0)))</f>
        <v/>
      </c>
      <c r="E70" s="13">
        <f>IF(A70="","",IF(D70=0,"AGOTADO",IF(D70&lt;100,"⚠ BAJO","✓ DISPONIBLE")))</f>
        <v/>
      </c>
    </row>
    <row r="71">
      <c r="A71" s="7">
        <f>IF(ROWS($A$5:A71)&lt;=COUNTA(DATOS!$A$2:$A$1000),INDEX(DATOS!$A$2:$A$1000,ROWS($A$5:A71)),"")</f>
        <v/>
      </c>
      <c r="B71" s="8">
        <f>IF(A71="","",INDEX(DATOS!$B$2:$B$1000,MATCH(A71,DATOS!$A$2:$A$1000,0)))</f>
        <v/>
      </c>
      <c r="C71" s="9">
        <f>IF(A71="","",INDEX(DATOS!$C$2:$C$1000,MATCH(A71,DATOS!$A$2:$A$1000,0)))</f>
        <v/>
      </c>
      <c r="D71" s="10">
        <f>IF(A71="","",INDEX(DATOS!$D$2:$D$1000,MATCH(A71,DATOS!$A$2:$A$1000,0)))</f>
        <v/>
      </c>
      <c r="E71" s="9">
        <f>IF(A71="","",IF(D71=0,"AGOTADO",IF(D71&lt;100,"⚠ BAJO","✓ DISPONIBLE")))</f>
        <v/>
      </c>
    </row>
    <row r="72">
      <c r="A72" s="11">
        <f>IF(ROWS($A$5:A72)&lt;=COUNTA(DATOS!$A$2:$A$1000),INDEX(DATOS!$A$2:$A$1000,ROWS($A$5:A72)),"")</f>
        <v/>
      </c>
      <c r="B72" s="12">
        <f>IF(A72="","",INDEX(DATOS!$B$2:$B$1000,MATCH(A72,DATOS!$A$2:$A$1000,0)))</f>
        <v/>
      </c>
      <c r="C72" s="13">
        <f>IF(A72="","",INDEX(DATOS!$C$2:$C$1000,MATCH(A72,DATOS!$A$2:$A$1000,0)))</f>
        <v/>
      </c>
      <c r="D72" s="14">
        <f>IF(A72="","",INDEX(DATOS!$D$2:$D$1000,MATCH(A72,DATOS!$A$2:$A$1000,0)))</f>
        <v/>
      </c>
      <c r="E72" s="13">
        <f>IF(A72="","",IF(D72=0,"AGOTADO",IF(D72&lt;100,"⚠ BAJO","✓ DISPONIBLE")))</f>
        <v/>
      </c>
    </row>
    <row r="73">
      <c r="A73" s="7">
        <f>IF(ROWS($A$5:A73)&lt;=COUNTA(DATOS!$A$2:$A$1000),INDEX(DATOS!$A$2:$A$1000,ROWS($A$5:A73)),"")</f>
        <v/>
      </c>
      <c r="B73" s="8">
        <f>IF(A73="","",INDEX(DATOS!$B$2:$B$1000,MATCH(A73,DATOS!$A$2:$A$1000,0)))</f>
        <v/>
      </c>
      <c r="C73" s="9">
        <f>IF(A73="","",INDEX(DATOS!$C$2:$C$1000,MATCH(A73,DATOS!$A$2:$A$1000,0)))</f>
        <v/>
      </c>
      <c r="D73" s="10">
        <f>IF(A73="","",INDEX(DATOS!$D$2:$D$1000,MATCH(A73,DATOS!$A$2:$A$1000,0)))</f>
        <v/>
      </c>
      <c r="E73" s="9">
        <f>IF(A73="","",IF(D73=0,"AGOTADO",IF(D73&lt;100,"⚠ BAJO","✓ DISPONIBLE")))</f>
        <v/>
      </c>
    </row>
    <row r="74">
      <c r="A74" s="11">
        <f>IF(ROWS($A$5:A74)&lt;=COUNTA(DATOS!$A$2:$A$1000),INDEX(DATOS!$A$2:$A$1000,ROWS($A$5:A74)),"")</f>
        <v/>
      </c>
      <c r="B74" s="12">
        <f>IF(A74="","",INDEX(DATOS!$B$2:$B$1000,MATCH(A74,DATOS!$A$2:$A$1000,0)))</f>
        <v/>
      </c>
      <c r="C74" s="13">
        <f>IF(A74="","",INDEX(DATOS!$C$2:$C$1000,MATCH(A74,DATOS!$A$2:$A$1000,0)))</f>
        <v/>
      </c>
      <c r="D74" s="14">
        <f>IF(A74="","",INDEX(DATOS!$D$2:$D$1000,MATCH(A74,DATOS!$A$2:$A$1000,0)))</f>
        <v/>
      </c>
      <c r="E74" s="13">
        <f>IF(A74="","",IF(D74=0,"AGOTADO",IF(D74&lt;100,"⚠ BAJO","✓ DISPONIBLE")))</f>
        <v/>
      </c>
    </row>
    <row r="75">
      <c r="A75" s="7">
        <f>IF(ROWS($A$5:A75)&lt;=COUNTA(DATOS!$A$2:$A$1000),INDEX(DATOS!$A$2:$A$1000,ROWS($A$5:A75)),"")</f>
        <v/>
      </c>
      <c r="B75" s="8">
        <f>IF(A75="","",INDEX(DATOS!$B$2:$B$1000,MATCH(A75,DATOS!$A$2:$A$1000,0)))</f>
        <v/>
      </c>
      <c r="C75" s="9">
        <f>IF(A75="","",INDEX(DATOS!$C$2:$C$1000,MATCH(A75,DATOS!$A$2:$A$1000,0)))</f>
        <v/>
      </c>
      <c r="D75" s="10">
        <f>IF(A75="","",INDEX(DATOS!$D$2:$D$1000,MATCH(A75,DATOS!$A$2:$A$1000,0)))</f>
        <v/>
      </c>
      <c r="E75" s="9">
        <f>IF(A75="","",IF(D75=0,"AGOTADO",IF(D75&lt;100,"⚠ BAJO","✓ DISPONIBLE")))</f>
        <v/>
      </c>
    </row>
    <row r="76">
      <c r="A76" s="11">
        <f>IF(ROWS($A$5:A76)&lt;=COUNTA(DATOS!$A$2:$A$1000),INDEX(DATOS!$A$2:$A$1000,ROWS($A$5:A76)),"")</f>
        <v/>
      </c>
      <c r="B76" s="12">
        <f>IF(A76="","",INDEX(DATOS!$B$2:$B$1000,MATCH(A76,DATOS!$A$2:$A$1000,0)))</f>
        <v/>
      </c>
      <c r="C76" s="13">
        <f>IF(A76="","",INDEX(DATOS!$C$2:$C$1000,MATCH(A76,DATOS!$A$2:$A$1000,0)))</f>
        <v/>
      </c>
      <c r="D76" s="14">
        <f>IF(A76="","",INDEX(DATOS!$D$2:$D$1000,MATCH(A76,DATOS!$A$2:$A$1000,0)))</f>
        <v/>
      </c>
      <c r="E76" s="13">
        <f>IF(A76="","",IF(D76=0,"AGOTADO",IF(D76&lt;100,"⚠ BAJO","✓ DISPONIBLE")))</f>
        <v/>
      </c>
    </row>
    <row r="77">
      <c r="A77" s="7">
        <f>IF(ROWS($A$5:A77)&lt;=COUNTA(DATOS!$A$2:$A$1000),INDEX(DATOS!$A$2:$A$1000,ROWS($A$5:A77)),"")</f>
        <v/>
      </c>
      <c r="B77" s="8">
        <f>IF(A77="","",INDEX(DATOS!$B$2:$B$1000,MATCH(A77,DATOS!$A$2:$A$1000,0)))</f>
        <v/>
      </c>
      <c r="C77" s="9">
        <f>IF(A77="","",INDEX(DATOS!$C$2:$C$1000,MATCH(A77,DATOS!$A$2:$A$1000,0)))</f>
        <v/>
      </c>
      <c r="D77" s="10">
        <f>IF(A77="","",INDEX(DATOS!$D$2:$D$1000,MATCH(A77,DATOS!$A$2:$A$1000,0)))</f>
        <v/>
      </c>
      <c r="E77" s="9">
        <f>IF(A77="","",IF(D77=0,"AGOTADO",IF(D77&lt;100,"⚠ BAJO","✓ DISPONIBLE")))</f>
        <v/>
      </c>
    </row>
    <row r="78">
      <c r="A78" s="11">
        <f>IF(ROWS($A$5:A78)&lt;=COUNTA(DATOS!$A$2:$A$1000),INDEX(DATOS!$A$2:$A$1000,ROWS($A$5:A78)),"")</f>
        <v/>
      </c>
      <c r="B78" s="12">
        <f>IF(A78="","",INDEX(DATOS!$B$2:$B$1000,MATCH(A78,DATOS!$A$2:$A$1000,0)))</f>
        <v/>
      </c>
      <c r="C78" s="13">
        <f>IF(A78="","",INDEX(DATOS!$C$2:$C$1000,MATCH(A78,DATOS!$A$2:$A$1000,0)))</f>
        <v/>
      </c>
      <c r="D78" s="14">
        <f>IF(A78="","",INDEX(DATOS!$D$2:$D$1000,MATCH(A78,DATOS!$A$2:$A$1000,0)))</f>
        <v/>
      </c>
      <c r="E78" s="13">
        <f>IF(A78="","",IF(D78=0,"AGOTADO",IF(D78&lt;100,"⚠ BAJO","✓ DISPONIBLE")))</f>
        <v/>
      </c>
    </row>
    <row r="79">
      <c r="A79" s="7">
        <f>IF(ROWS($A$5:A79)&lt;=COUNTA(DATOS!$A$2:$A$1000),INDEX(DATOS!$A$2:$A$1000,ROWS($A$5:A79)),"")</f>
        <v/>
      </c>
      <c r="B79" s="8">
        <f>IF(A79="","",INDEX(DATOS!$B$2:$B$1000,MATCH(A79,DATOS!$A$2:$A$1000,0)))</f>
        <v/>
      </c>
      <c r="C79" s="9">
        <f>IF(A79="","",INDEX(DATOS!$C$2:$C$1000,MATCH(A79,DATOS!$A$2:$A$1000,0)))</f>
        <v/>
      </c>
      <c r="D79" s="10">
        <f>IF(A79="","",INDEX(DATOS!$D$2:$D$1000,MATCH(A79,DATOS!$A$2:$A$1000,0)))</f>
        <v/>
      </c>
      <c r="E79" s="9">
        <f>IF(A79="","",IF(D79=0,"AGOTADO",IF(D79&lt;100,"⚠ BAJO","✓ DISPONIBLE")))</f>
        <v/>
      </c>
    </row>
    <row r="80">
      <c r="A80" s="11">
        <f>IF(ROWS($A$5:A80)&lt;=COUNTA(DATOS!$A$2:$A$1000),INDEX(DATOS!$A$2:$A$1000,ROWS($A$5:A80)),"")</f>
        <v/>
      </c>
      <c r="B80" s="12">
        <f>IF(A80="","",INDEX(DATOS!$B$2:$B$1000,MATCH(A80,DATOS!$A$2:$A$1000,0)))</f>
        <v/>
      </c>
      <c r="C80" s="13">
        <f>IF(A80="","",INDEX(DATOS!$C$2:$C$1000,MATCH(A80,DATOS!$A$2:$A$1000,0)))</f>
        <v/>
      </c>
      <c r="D80" s="14">
        <f>IF(A80="","",INDEX(DATOS!$D$2:$D$1000,MATCH(A80,DATOS!$A$2:$A$1000,0)))</f>
        <v/>
      </c>
      <c r="E80" s="13">
        <f>IF(A80="","",IF(D80=0,"AGOTADO",IF(D80&lt;100,"⚠ BAJO","✓ DISPONIBLE")))</f>
        <v/>
      </c>
    </row>
    <row r="81">
      <c r="A81" s="7">
        <f>IF(ROWS($A$5:A81)&lt;=COUNTA(DATOS!$A$2:$A$1000),INDEX(DATOS!$A$2:$A$1000,ROWS($A$5:A81)),"")</f>
        <v/>
      </c>
      <c r="B81" s="8">
        <f>IF(A81="","",INDEX(DATOS!$B$2:$B$1000,MATCH(A81,DATOS!$A$2:$A$1000,0)))</f>
        <v/>
      </c>
      <c r="C81" s="9">
        <f>IF(A81="","",INDEX(DATOS!$C$2:$C$1000,MATCH(A81,DATOS!$A$2:$A$1000,0)))</f>
        <v/>
      </c>
      <c r="D81" s="10">
        <f>IF(A81="","",INDEX(DATOS!$D$2:$D$1000,MATCH(A81,DATOS!$A$2:$A$1000,0)))</f>
        <v/>
      </c>
      <c r="E81" s="9">
        <f>IF(A81="","",IF(D81=0,"AGOTADO",IF(D81&lt;100,"⚠ BAJO","✓ DISPONIBLE")))</f>
        <v/>
      </c>
    </row>
    <row r="82">
      <c r="A82" s="11">
        <f>IF(ROWS($A$5:A82)&lt;=COUNTA(DATOS!$A$2:$A$1000),INDEX(DATOS!$A$2:$A$1000,ROWS($A$5:A82)),"")</f>
        <v/>
      </c>
      <c r="B82" s="12">
        <f>IF(A82="","",INDEX(DATOS!$B$2:$B$1000,MATCH(A82,DATOS!$A$2:$A$1000,0)))</f>
        <v/>
      </c>
      <c r="C82" s="13">
        <f>IF(A82="","",INDEX(DATOS!$C$2:$C$1000,MATCH(A82,DATOS!$A$2:$A$1000,0)))</f>
        <v/>
      </c>
      <c r="D82" s="14">
        <f>IF(A82="","",INDEX(DATOS!$D$2:$D$1000,MATCH(A82,DATOS!$A$2:$A$1000,0)))</f>
        <v/>
      </c>
      <c r="E82" s="13">
        <f>IF(A82="","",IF(D82=0,"AGOTADO",IF(D82&lt;100,"⚠ BAJO","✓ DISPONIBLE")))</f>
        <v/>
      </c>
    </row>
    <row r="83">
      <c r="A83" s="7">
        <f>IF(ROWS($A$5:A83)&lt;=COUNTA(DATOS!$A$2:$A$1000),INDEX(DATOS!$A$2:$A$1000,ROWS($A$5:A83)),"")</f>
        <v/>
      </c>
      <c r="B83" s="8">
        <f>IF(A83="","",INDEX(DATOS!$B$2:$B$1000,MATCH(A83,DATOS!$A$2:$A$1000,0)))</f>
        <v/>
      </c>
      <c r="C83" s="9">
        <f>IF(A83="","",INDEX(DATOS!$C$2:$C$1000,MATCH(A83,DATOS!$A$2:$A$1000,0)))</f>
        <v/>
      </c>
      <c r="D83" s="10">
        <f>IF(A83="","",INDEX(DATOS!$D$2:$D$1000,MATCH(A83,DATOS!$A$2:$A$1000,0)))</f>
        <v/>
      </c>
      <c r="E83" s="9">
        <f>IF(A83="","",IF(D83=0,"AGOTADO",IF(D83&lt;100,"⚠ BAJO","✓ DISPONIBLE")))</f>
        <v/>
      </c>
    </row>
    <row r="84">
      <c r="A84" s="11">
        <f>IF(ROWS($A$5:A84)&lt;=COUNTA(DATOS!$A$2:$A$1000),INDEX(DATOS!$A$2:$A$1000,ROWS($A$5:A84)),"")</f>
        <v/>
      </c>
      <c r="B84" s="12">
        <f>IF(A84="","",INDEX(DATOS!$B$2:$B$1000,MATCH(A84,DATOS!$A$2:$A$1000,0)))</f>
        <v/>
      </c>
      <c r="C84" s="13">
        <f>IF(A84="","",INDEX(DATOS!$C$2:$C$1000,MATCH(A84,DATOS!$A$2:$A$1000,0)))</f>
        <v/>
      </c>
      <c r="D84" s="14">
        <f>IF(A84="","",INDEX(DATOS!$D$2:$D$1000,MATCH(A84,DATOS!$A$2:$A$1000,0)))</f>
        <v/>
      </c>
      <c r="E84" s="13">
        <f>IF(A84="","",IF(D84=0,"AGOTADO",IF(D84&lt;100,"⚠ BAJO","✓ DISPONIBLE")))</f>
        <v/>
      </c>
    </row>
    <row r="85">
      <c r="A85" s="7">
        <f>IF(ROWS($A$5:A85)&lt;=COUNTA(DATOS!$A$2:$A$1000),INDEX(DATOS!$A$2:$A$1000,ROWS($A$5:A85)),"")</f>
        <v/>
      </c>
      <c r="B85" s="8">
        <f>IF(A85="","",INDEX(DATOS!$B$2:$B$1000,MATCH(A85,DATOS!$A$2:$A$1000,0)))</f>
        <v/>
      </c>
      <c r="C85" s="9">
        <f>IF(A85="","",INDEX(DATOS!$C$2:$C$1000,MATCH(A85,DATOS!$A$2:$A$1000,0)))</f>
        <v/>
      </c>
      <c r="D85" s="10">
        <f>IF(A85="","",INDEX(DATOS!$D$2:$D$1000,MATCH(A85,DATOS!$A$2:$A$1000,0)))</f>
        <v/>
      </c>
      <c r="E85" s="9">
        <f>IF(A85="","",IF(D85=0,"AGOTADO",IF(D85&lt;100,"⚠ BAJO","✓ DISPONIBLE")))</f>
        <v/>
      </c>
    </row>
    <row r="86">
      <c r="A86" s="11">
        <f>IF(ROWS($A$5:A86)&lt;=COUNTA(DATOS!$A$2:$A$1000),INDEX(DATOS!$A$2:$A$1000,ROWS($A$5:A86)),"")</f>
        <v/>
      </c>
      <c r="B86" s="12">
        <f>IF(A86="","",INDEX(DATOS!$B$2:$B$1000,MATCH(A86,DATOS!$A$2:$A$1000,0)))</f>
        <v/>
      </c>
      <c r="C86" s="13">
        <f>IF(A86="","",INDEX(DATOS!$C$2:$C$1000,MATCH(A86,DATOS!$A$2:$A$1000,0)))</f>
        <v/>
      </c>
      <c r="D86" s="14">
        <f>IF(A86="","",INDEX(DATOS!$D$2:$D$1000,MATCH(A86,DATOS!$A$2:$A$1000,0)))</f>
        <v/>
      </c>
      <c r="E86" s="13">
        <f>IF(A86="","",IF(D86=0,"AGOTADO",IF(D86&lt;100,"⚠ BAJO","✓ DISPONIBLE")))</f>
        <v/>
      </c>
    </row>
    <row r="87">
      <c r="A87" s="7">
        <f>IF(ROWS($A$5:A87)&lt;=COUNTA(DATOS!$A$2:$A$1000),INDEX(DATOS!$A$2:$A$1000,ROWS($A$5:A87)),"")</f>
        <v/>
      </c>
      <c r="B87" s="8">
        <f>IF(A87="","",INDEX(DATOS!$B$2:$B$1000,MATCH(A87,DATOS!$A$2:$A$1000,0)))</f>
        <v/>
      </c>
      <c r="C87" s="9">
        <f>IF(A87="","",INDEX(DATOS!$C$2:$C$1000,MATCH(A87,DATOS!$A$2:$A$1000,0)))</f>
        <v/>
      </c>
      <c r="D87" s="10">
        <f>IF(A87="","",INDEX(DATOS!$D$2:$D$1000,MATCH(A87,DATOS!$A$2:$A$1000,0)))</f>
        <v/>
      </c>
      <c r="E87" s="9">
        <f>IF(A87="","",IF(D87=0,"AGOTADO",IF(D87&lt;100,"⚠ BAJO","✓ DISPONIBLE")))</f>
        <v/>
      </c>
    </row>
    <row r="88">
      <c r="A88" s="11">
        <f>IF(ROWS($A$5:A88)&lt;=COUNTA(DATOS!$A$2:$A$1000),INDEX(DATOS!$A$2:$A$1000,ROWS($A$5:A88)),"")</f>
        <v/>
      </c>
      <c r="B88" s="12">
        <f>IF(A88="","",INDEX(DATOS!$B$2:$B$1000,MATCH(A88,DATOS!$A$2:$A$1000,0)))</f>
        <v/>
      </c>
      <c r="C88" s="13">
        <f>IF(A88="","",INDEX(DATOS!$C$2:$C$1000,MATCH(A88,DATOS!$A$2:$A$1000,0)))</f>
        <v/>
      </c>
      <c r="D88" s="14">
        <f>IF(A88="","",INDEX(DATOS!$D$2:$D$1000,MATCH(A88,DATOS!$A$2:$A$1000,0)))</f>
        <v/>
      </c>
      <c r="E88" s="13">
        <f>IF(A88="","",IF(D88=0,"AGOTADO",IF(D88&lt;100,"⚠ BAJO","✓ DISPONIBLE")))</f>
        <v/>
      </c>
    </row>
    <row r="89">
      <c r="A89" s="7">
        <f>IF(ROWS($A$5:A89)&lt;=COUNTA(DATOS!$A$2:$A$1000),INDEX(DATOS!$A$2:$A$1000,ROWS($A$5:A89)),"")</f>
        <v/>
      </c>
      <c r="B89" s="8">
        <f>IF(A89="","",INDEX(DATOS!$B$2:$B$1000,MATCH(A89,DATOS!$A$2:$A$1000,0)))</f>
        <v/>
      </c>
      <c r="C89" s="9">
        <f>IF(A89="","",INDEX(DATOS!$C$2:$C$1000,MATCH(A89,DATOS!$A$2:$A$1000,0)))</f>
        <v/>
      </c>
      <c r="D89" s="10">
        <f>IF(A89="","",INDEX(DATOS!$D$2:$D$1000,MATCH(A89,DATOS!$A$2:$A$1000,0)))</f>
        <v/>
      </c>
      <c r="E89" s="9">
        <f>IF(A89="","",IF(D89=0,"AGOTADO",IF(D89&lt;100,"⚠ BAJO","✓ DISPONIBLE")))</f>
        <v/>
      </c>
    </row>
    <row r="90">
      <c r="A90" s="11">
        <f>IF(ROWS($A$5:A90)&lt;=COUNTA(DATOS!$A$2:$A$1000),INDEX(DATOS!$A$2:$A$1000,ROWS($A$5:A90)),"")</f>
        <v/>
      </c>
      <c r="B90" s="12">
        <f>IF(A90="","",INDEX(DATOS!$B$2:$B$1000,MATCH(A90,DATOS!$A$2:$A$1000,0)))</f>
        <v/>
      </c>
      <c r="C90" s="13">
        <f>IF(A90="","",INDEX(DATOS!$C$2:$C$1000,MATCH(A90,DATOS!$A$2:$A$1000,0)))</f>
        <v/>
      </c>
      <c r="D90" s="14">
        <f>IF(A90="","",INDEX(DATOS!$D$2:$D$1000,MATCH(A90,DATOS!$A$2:$A$1000,0)))</f>
        <v/>
      </c>
      <c r="E90" s="13">
        <f>IF(A90="","",IF(D90=0,"AGOTADO",IF(D90&lt;100,"⚠ BAJO","✓ DISPONIBLE")))</f>
        <v/>
      </c>
    </row>
    <row r="91">
      <c r="A91" s="7">
        <f>IF(ROWS($A$5:A91)&lt;=COUNTA(DATOS!$A$2:$A$1000),INDEX(DATOS!$A$2:$A$1000,ROWS($A$5:A91)),"")</f>
        <v/>
      </c>
      <c r="B91" s="8">
        <f>IF(A91="","",INDEX(DATOS!$B$2:$B$1000,MATCH(A91,DATOS!$A$2:$A$1000,0)))</f>
        <v/>
      </c>
      <c r="C91" s="9">
        <f>IF(A91="","",INDEX(DATOS!$C$2:$C$1000,MATCH(A91,DATOS!$A$2:$A$1000,0)))</f>
        <v/>
      </c>
      <c r="D91" s="10">
        <f>IF(A91="","",INDEX(DATOS!$D$2:$D$1000,MATCH(A91,DATOS!$A$2:$A$1000,0)))</f>
        <v/>
      </c>
      <c r="E91" s="9">
        <f>IF(A91="","",IF(D91=0,"AGOTADO",IF(D91&lt;100,"⚠ BAJO","✓ DISPONIBLE")))</f>
        <v/>
      </c>
    </row>
    <row r="92">
      <c r="A92" s="11">
        <f>IF(ROWS($A$5:A92)&lt;=COUNTA(DATOS!$A$2:$A$1000),INDEX(DATOS!$A$2:$A$1000,ROWS($A$5:A92)),"")</f>
        <v/>
      </c>
      <c r="B92" s="12">
        <f>IF(A92="","",INDEX(DATOS!$B$2:$B$1000,MATCH(A92,DATOS!$A$2:$A$1000,0)))</f>
        <v/>
      </c>
      <c r="C92" s="13">
        <f>IF(A92="","",INDEX(DATOS!$C$2:$C$1000,MATCH(A92,DATOS!$A$2:$A$1000,0)))</f>
        <v/>
      </c>
      <c r="D92" s="14">
        <f>IF(A92="","",INDEX(DATOS!$D$2:$D$1000,MATCH(A92,DATOS!$A$2:$A$1000,0)))</f>
        <v/>
      </c>
      <c r="E92" s="13">
        <f>IF(A92="","",IF(D92=0,"AGOTADO",IF(D92&lt;100,"⚠ BAJO","✓ DISPONIBLE")))</f>
        <v/>
      </c>
    </row>
    <row r="93">
      <c r="A93" s="7">
        <f>IF(ROWS($A$5:A93)&lt;=COUNTA(DATOS!$A$2:$A$1000),INDEX(DATOS!$A$2:$A$1000,ROWS($A$5:A93)),"")</f>
        <v/>
      </c>
      <c r="B93" s="8">
        <f>IF(A93="","",INDEX(DATOS!$B$2:$B$1000,MATCH(A93,DATOS!$A$2:$A$1000,0)))</f>
        <v/>
      </c>
      <c r="C93" s="9">
        <f>IF(A93="","",INDEX(DATOS!$C$2:$C$1000,MATCH(A93,DATOS!$A$2:$A$1000,0)))</f>
        <v/>
      </c>
      <c r="D93" s="10">
        <f>IF(A93="","",INDEX(DATOS!$D$2:$D$1000,MATCH(A93,DATOS!$A$2:$A$1000,0)))</f>
        <v/>
      </c>
      <c r="E93" s="9">
        <f>IF(A93="","",IF(D93=0,"AGOTADO",IF(D93&lt;100,"⚠ BAJO","✓ DISPONIBLE")))</f>
        <v/>
      </c>
    </row>
    <row r="94">
      <c r="A94" s="11">
        <f>IF(ROWS($A$5:A94)&lt;=COUNTA(DATOS!$A$2:$A$1000),INDEX(DATOS!$A$2:$A$1000,ROWS($A$5:A94)),"")</f>
        <v/>
      </c>
      <c r="B94" s="12">
        <f>IF(A94="","",INDEX(DATOS!$B$2:$B$1000,MATCH(A94,DATOS!$A$2:$A$1000,0)))</f>
        <v/>
      </c>
      <c r="C94" s="13">
        <f>IF(A94="","",INDEX(DATOS!$C$2:$C$1000,MATCH(A94,DATOS!$A$2:$A$1000,0)))</f>
        <v/>
      </c>
      <c r="D94" s="14">
        <f>IF(A94="","",INDEX(DATOS!$D$2:$D$1000,MATCH(A94,DATOS!$A$2:$A$1000,0)))</f>
        <v/>
      </c>
      <c r="E94" s="13">
        <f>IF(A94="","",IF(D94=0,"AGOTADO",IF(D94&lt;100,"⚠ BAJO","✓ DISPONIBLE")))</f>
        <v/>
      </c>
    </row>
    <row r="95">
      <c r="A95" s="7">
        <f>IF(ROWS($A$5:A95)&lt;=COUNTA(DATOS!$A$2:$A$1000),INDEX(DATOS!$A$2:$A$1000,ROWS($A$5:A95)),"")</f>
        <v/>
      </c>
      <c r="B95" s="8">
        <f>IF(A95="","",INDEX(DATOS!$B$2:$B$1000,MATCH(A95,DATOS!$A$2:$A$1000,0)))</f>
        <v/>
      </c>
      <c r="C95" s="9">
        <f>IF(A95="","",INDEX(DATOS!$C$2:$C$1000,MATCH(A95,DATOS!$A$2:$A$1000,0)))</f>
        <v/>
      </c>
      <c r="D95" s="10">
        <f>IF(A95="","",INDEX(DATOS!$D$2:$D$1000,MATCH(A95,DATOS!$A$2:$A$1000,0)))</f>
        <v/>
      </c>
      <c r="E95" s="9">
        <f>IF(A95="","",IF(D95=0,"AGOTADO",IF(D95&lt;100,"⚠ BAJO","✓ DISPONIBLE")))</f>
        <v/>
      </c>
    </row>
    <row r="96">
      <c r="A96" s="11">
        <f>IF(ROWS($A$5:A96)&lt;=COUNTA(DATOS!$A$2:$A$1000),INDEX(DATOS!$A$2:$A$1000,ROWS($A$5:A96)),"")</f>
        <v/>
      </c>
      <c r="B96" s="12">
        <f>IF(A96="","",INDEX(DATOS!$B$2:$B$1000,MATCH(A96,DATOS!$A$2:$A$1000,0)))</f>
        <v/>
      </c>
      <c r="C96" s="13">
        <f>IF(A96="","",INDEX(DATOS!$C$2:$C$1000,MATCH(A96,DATOS!$A$2:$A$1000,0)))</f>
        <v/>
      </c>
      <c r="D96" s="14">
        <f>IF(A96="","",INDEX(DATOS!$D$2:$D$1000,MATCH(A96,DATOS!$A$2:$A$1000,0)))</f>
        <v/>
      </c>
      <c r="E96" s="13">
        <f>IF(A96="","",IF(D96=0,"AGOTADO",IF(D96&lt;100,"⚠ BAJO","✓ DISPONIBLE")))</f>
        <v/>
      </c>
    </row>
    <row r="97">
      <c r="A97" s="7">
        <f>IF(ROWS($A$5:A97)&lt;=COUNTA(DATOS!$A$2:$A$1000),INDEX(DATOS!$A$2:$A$1000,ROWS($A$5:A97)),"")</f>
        <v/>
      </c>
      <c r="B97" s="8">
        <f>IF(A97="","",INDEX(DATOS!$B$2:$B$1000,MATCH(A97,DATOS!$A$2:$A$1000,0)))</f>
        <v/>
      </c>
      <c r="C97" s="9">
        <f>IF(A97="","",INDEX(DATOS!$C$2:$C$1000,MATCH(A97,DATOS!$A$2:$A$1000,0)))</f>
        <v/>
      </c>
      <c r="D97" s="10">
        <f>IF(A97="","",INDEX(DATOS!$D$2:$D$1000,MATCH(A97,DATOS!$A$2:$A$1000,0)))</f>
        <v/>
      </c>
      <c r="E97" s="9">
        <f>IF(A97="","",IF(D97=0,"AGOTADO",IF(D97&lt;100,"⚠ BAJO","✓ DISPONIBLE")))</f>
        <v/>
      </c>
    </row>
    <row r="98">
      <c r="A98" s="11">
        <f>IF(ROWS($A$5:A98)&lt;=COUNTA(DATOS!$A$2:$A$1000),INDEX(DATOS!$A$2:$A$1000,ROWS($A$5:A98)),"")</f>
        <v/>
      </c>
      <c r="B98" s="12">
        <f>IF(A98="","",INDEX(DATOS!$B$2:$B$1000,MATCH(A98,DATOS!$A$2:$A$1000,0)))</f>
        <v/>
      </c>
      <c r="C98" s="13">
        <f>IF(A98="","",INDEX(DATOS!$C$2:$C$1000,MATCH(A98,DATOS!$A$2:$A$1000,0)))</f>
        <v/>
      </c>
      <c r="D98" s="14">
        <f>IF(A98="","",INDEX(DATOS!$D$2:$D$1000,MATCH(A98,DATOS!$A$2:$A$1000,0)))</f>
        <v/>
      </c>
      <c r="E98" s="13">
        <f>IF(A98="","",IF(D98=0,"AGOTADO",IF(D98&lt;100,"⚠ BAJO","✓ DISPONIBLE")))</f>
        <v/>
      </c>
    </row>
    <row r="99">
      <c r="A99" s="7">
        <f>IF(ROWS($A$5:A99)&lt;=COUNTA(DATOS!$A$2:$A$1000),INDEX(DATOS!$A$2:$A$1000,ROWS($A$5:A99)),"")</f>
        <v/>
      </c>
      <c r="B99" s="8">
        <f>IF(A99="","",INDEX(DATOS!$B$2:$B$1000,MATCH(A99,DATOS!$A$2:$A$1000,0)))</f>
        <v/>
      </c>
      <c r="C99" s="9">
        <f>IF(A99="","",INDEX(DATOS!$C$2:$C$1000,MATCH(A99,DATOS!$A$2:$A$1000,0)))</f>
        <v/>
      </c>
      <c r="D99" s="10">
        <f>IF(A99="","",INDEX(DATOS!$D$2:$D$1000,MATCH(A99,DATOS!$A$2:$A$1000,0)))</f>
        <v/>
      </c>
      <c r="E99" s="9">
        <f>IF(A99="","",IF(D99=0,"AGOTADO",IF(D99&lt;100,"⚠ BAJO","✓ DISPONIBLE")))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5" t="inlineStr"/>
    </row>
    <row r="2">
      <c r="A2" s="16" t="inlineStr">
        <is>
          <t>PASO 1: Exportar desde SAP</t>
        </is>
      </c>
    </row>
    <row r="3">
      <c r="A3" s="17" t="inlineStr">
        <is>
          <t>• Ve a SAP → Visualizar stocks en almacén por material</t>
        </is>
      </c>
    </row>
    <row r="4">
      <c r="A4" s="17" t="inlineStr">
        <is>
          <t>• Exporta a Excel (debe incluir: Material, Texto, Almacén, Libre utilización, UMB)</t>
        </is>
      </c>
    </row>
    <row r="5">
      <c r="A5" t="inlineStr"/>
    </row>
    <row r="6">
      <c r="A6" s="16" t="inlineStr">
        <is>
          <t>PASO 2: Pegar datos</t>
        </is>
      </c>
    </row>
    <row r="7">
      <c r="A7" s="17" t="inlineStr">
        <is>
          <t>• Abre la pestaña 'DATOS' (tabulador rojo)</t>
        </is>
      </c>
    </row>
    <row r="8">
      <c r="A8" s="17" t="inlineStr">
        <is>
          <t>• Selecciona la celda A2 y pega la exportación de SAP</t>
        </is>
      </c>
    </row>
    <row r="9">
      <c r="A9" s="17" t="inlineStr">
        <is>
          <t>• El archivo limpiarará automáticamente</t>
        </is>
      </c>
    </row>
    <row r="10">
      <c r="A10" t="inlineStr"/>
    </row>
    <row r="11">
      <c r="A11" s="16" t="inlineStr">
        <is>
          <t>PASO 3: Ver Dashboard</t>
        </is>
      </c>
    </row>
    <row r="12">
      <c r="A12" s="17" t="inlineStr">
        <is>
          <t>• Ve a la pestaña 'DASHBOARD' (tabulador dorado)</t>
        </is>
      </c>
    </row>
    <row r="13">
      <c r="A13" s="17" t="inlineStr">
        <is>
          <t>• ¡Los vendedores verán la lista actualizada automáticamente!</t>
        </is>
      </c>
    </row>
    <row r="14">
      <c r="A14" t="inlineStr"/>
    </row>
    <row r="15">
      <c r="A15" s="16" t="inlineStr">
        <is>
          <t>PASO 4: Subir a SharePoint</t>
        </is>
      </c>
    </row>
    <row r="16">
      <c r="A16" s="17" t="inlineStr">
        <is>
          <t>• Guarda este archivo en la carpeta de SharePoint</t>
        </is>
      </c>
    </row>
    <row r="17">
      <c r="A17" s="17" t="inlineStr">
        <is>
          <t>• Compartir el link con el equipo de ventas</t>
        </is>
      </c>
    </row>
    <row r="18">
      <c r="A18" t="inlineStr"/>
    </row>
    <row r="19">
      <c r="A19" s="16" t="inlineStr">
        <is>
          <t>FILTROS Y BÚSQUEDA:</t>
        </is>
      </c>
    </row>
    <row r="20">
      <c r="A20" s="17" t="inlineStr">
        <is>
          <t>• El dashboard muestra TODO automáticamente</t>
        </is>
      </c>
    </row>
    <row r="21">
      <c r="A21" s="17" t="inlineStr">
        <is>
          <t>• Los vendedores pueden usar Ctrl+F para buscar</t>
        </is>
      </c>
    </row>
    <row r="22">
      <c r="A22" s="17" t="inlineStr">
        <is>
          <t>• Usa los botones de filtro (si tienes tiempo, pedimos agregar)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2026-04-15T23:07:07Z</dcterms:created>
  <dcterms:modified xmlns:dcterms="http://purl.org/dc/terms/" xmlns:xsi="http://www.w3.org/2001/XMLSchema-instance" xsi:type="dcterms:W3CDTF">2026-04-15T23:07:07Z</dcterms:modified>
</cp:coreProperties>
</file>